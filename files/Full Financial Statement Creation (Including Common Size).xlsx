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ascarruthers/Desktop/Portfolio creation/Microsoft/Excel/"/>
    </mc:Choice>
  </mc:AlternateContent>
  <xr:revisionPtr revIDLastSave="0" documentId="8_{A278B023-1344-5A45-A4C5-960352A7F31B}" xr6:coauthVersionLast="47" xr6:coauthVersionMax="47" xr10:uidLastSave="{00000000-0000-0000-0000-000000000000}"/>
  <bookViews>
    <workbookView xWindow="17660" yWindow="600" windowWidth="38020" windowHeight="22580" activeTab="7" xr2:uid="{A267C21B-38C5-664A-9EDD-4A231A5477ED}"/>
  </bookViews>
  <sheets>
    <sheet name="Income Statement" sheetId="1" r:id="rId1"/>
    <sheet name="Balance Sheet" sheetId="2" r:id="rId2"/>
    <sheet name="Common size IS" sheetId="3" r:id="rId3"/>
    <sheet name="Common size BS" sheetId="4" r:id="rId4"/>
    <sheet name="Statement of Cash Flows" sheetId="5" r:id="rId5"/>
    <sheet name="Common-size Statement Cash Flow" sheetId="8" r:id="rId6"/>
    <sheet name="Ratios" sheetId="9" r:id="rId7"/>
    <sheet name="Economic Profit" sheetId="11" r:id="rId8"/>
    <sheet name="Sheet1" sheetId="10" r:id="rId9"/>
    <sheet name="Common-size statement of cash" sheetId="6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1" l="1"/>
  <c r="B9" i="11"/>
  <c r="C8" i="11"/>
  <c r="B8" i="11"/>
  <c r="C5" i="11"/>
  <c r="C6" i="11"/>
  <c r="B6" i="11"/>
  <c r="B5" i="11"/>
  <c r="C4" i="11"/>
  <c r="B4" i="11"/>
  <c r="E24" i="9"/>
  <c r="E25" i="9"/>
  <c r="E26" i="9"/>
  <c r="E27" i="9"/>
  <c r="E28" i="9"/>
  <c r="E23" i="9"/>
  <c r="E21" i="9"/>
  <c r="E20" i="9"/>
  <c r="E18" i="9"/>
  <c r="E15" i="9"/>
  <c r="E16" i="9"/>
  <c r="E17" i="9"/>
  <c r="E14" i="9"/>
  <c r="E9" i="9"/>
  <c r="E10" i="9"/>
  <c r="E11" i="9"/>
  <c r="E12" i="9"/>
  <c r="E8" i="9"/>
  <c r="E6" i="9"/>
  <c r="E5" i="9"/>
  <c r="C28" i="9"/>
  <c r="C27" i="9"/>
  <c r="C26" i="9"/>
  <c r="C25" i="9"/>
  <c r="C30" i="9" s="1"/>
  <c r="C24" i="9"/>
  <c r="C23" i="9"/>
  <c r="C21" i="9"/>
  <c r="C20" i="9"/>
  <c r="C18" i="9"/>
  <c r="C16" i="9"/>
  <c r="C15" i="9"/>
  <c r="C14" i="9"/>
  <c r="C12" i="9"/>
  <c r="C11" i="9"/>
  <c r="C10" i="9"/>
  <c r="C9" i="9"/>
  <c r="C8" i="9"/>
  <c r="C6" i="9"/>
  <c r="C5" i="9"/>
  <c r="B5" i="9"/>
  <c r="C17" i="9"/>
  <c r="B28" i="9" l="1"/>
  <c r="B27" i="9"/>
  <c r="B26" i="9"/>
  <c r="B25" i="9"/>
  <c r="B24" i="9"/>
  <c r="B23" i="9"/>
  <c r="B21" i="9"/>
  <c r="B20" i="9"/>
  <c r="B18" i="9"/>
  <c r="B17" i="9"/>
  <c r="B16" i="9"/>
  <c r="B15" i="9"/>
  <c r="B14" i="9"/>
  <c r="B12" i="9"/>
  <c r="B11" i="9"/>
  <c r="B10" i="9"/>
  <c r="B9" i="9"/>
  <c r="B8" i="9"/>
  <c r="B6" i="9"/>
  <c r="B30" i="9" l="1"/>
  <c r="B4" i="8"/>
  <c r="B18" i="8"/>
  <c r="B17" i="8"/>
  <c r="B16" i="8"/>
  <c r="B13" i="8"/>
  <c r="C14" i="8" s="1"/>
  <c r="B10" i="8"/>
  <c r="B9" i="8"/>
  <c r="B8" i="8"/>
  <c r="B7" i="8"/>
  <c r="B6" i="8"/>
  <c r="B7" i="6"/>
  <c r="B6" i="6"/>
  <c r="B7" i="1"/>
  <c r="B11" i="1" s="1"/>
  <c r="B8" i="6"/>
  <c r="B9" i="6"/>
  <c r="B10" i="6"/>
  <c r="C14" i="3"/>
  <c r="B8" i="5"/>
  <c r="B9" i="5"/>
  <c r="B18" i="5"/>
  <c r="B17" i="5"/>
  <c r="B16" i="5"/>
  <c r="B13" i="5"/>
  <c r="C14" i="5" s="1"/>
  <c r="B10" i="5"/>
  <c r="B7" i="5"/>
  <c r="B6" i="5"/>
  <c r="C12" i="4"/>
  <c r="E8" i="3"/>
  <c r="E9" i="3"/>
  <c r="E10" i="3"/>
  <c r="E12" i="3"/>
  <c r="C6" i="3"/>
  <c r="E6" i="3" s="1"/>
  <c r="C7" i="3"/>
  <c r="C8" i="3"/>
  <c r="C9" i="3"/>
  <c r="C10" i="3"/>
  <c r="C12" i="3"/>
  <c r="C5" i="3"/>
  <c r="B8" i="3"/>
  <c r="B9" i="3"/>
  <c r="B10" i="3"/>
  <c r="B12" i="3"/>
  <c r="B14" i="3"/>
  <c r="E14" i="3" s="1"/>
  <c r="B6" i="3"/>
  <c r="B5" i="3"/>
  <c r="B8" i="2"/>
  <c r="B22" i="2"/>
  <c r="C22" i="2"/>
  <c r="C8" i="2"/>
  <c r="C17" i="2"/>
  <c r="C19" i="2" s="1"/>
  <c r="B17" i="2"/>
  <c r="C11" i="2"/>
  <c r="B11" i="2"/>
  <c r="C12" i="2"/>
  <c r="C5" i="4" s="1"/>
  <c r="C7" i="1"/>
  <c r="C11" i="1" s="1"/>
  <c r="B13" i="1" l="1"/>
  <c r="B11" i="3"/>
  <c r="E15" i="3"/>
  <c r="C13" i="1"/>
  <c r="C11" i="3"/>
  <c r="B11" i="4"/>
  <c r="C23" i="2"/>
  <c r="C19" i="4"/>
  <c r="C11" i="4"/>
  <c r="C10" i="4"/>
  <c r="C9" i="4"/>
  <c r="C8" i="4"/>
  <c r="C7" i="4"/>
  <c r="B12" i="2"/>
  <c r="C6" i="4"/>
  <c r="B19" i="2"/>
  <c r="B7" i="3"/>
  <c r="C15" i="4" l="1"/>
  <c r="C16" i="4"/>
  <c r="C18" i="4"/>
  <c r="C20" i="4"/>
  <c r="C23" i="4"/>
  <c r="C14" i="4"/>
  <c r="B23" i="2"/>
  <c r="B19" i="4"/>
  <c r="C17" i="4"/>
  <c r="C13" i="3"/>
  <c r="C15" i="1"/>
  <c r="C15" i="3" s="1"/>
  <c r="B6" i="4"/>
  <c r="B7" i="4"/>
  <c r="B9" i="4"/>
  <c r="B10" i="4"/>
  <c r="B5" i="4"/>
  <c r="B12" i="4"/>
  <c r="B8" i="4"/>
  <c r="C22" i="4"/>
  <c r="B15" i="1"/>
  <c r="B13" i="3"/>
  <c r="B16" i="4" l="1"/>
  <c r="B18" i="4"/>
  <c r="B20" i="4"/>
  <c r="C21" i="4"/>
  <c r="B21" i="4"/>
  <c r="B22" i="4"/>
  <c r="B23" i="4"/>
  <c r="B14" i="4"/>
  <c r="B15" i="4"/>
  <c r="B17" i="4"/>
  <c r="B19" i="8"/>
  <c r="C20" i="8" s="1"/>
  <c r="B5" i="6"/>
  <c r="B5" i="5"/>
  <c r="C11" i="5" s="1"/>
  <c r="B19" i="5"/>
  <c r="C20" i="5" s="1"/>
  <c r="B15" i="3"/>
  <c r="B5" i="8"/>
  <c r="C11" i="8" s="1"/>
  <c r="C21" i="8" s="1"/>
</calcChain>
</file>

<file path=xl/sharedStrings.xml><?xml version="1.0" encoding="utf-8"?>
<sst xmlns="http://schemas.openxmlformats.org/spreadsheetml/2006/main" count="201" uniqueCount="114">
  <si>
    <t>Jack in the box</t>
  </si>
  <si>
    <t>Income Statement</t>
  </si>
  <si>
    <t>Elvis Products International</t>
  </si>
  <si>
    <t>Sales</t>
  </si>
  <si>
    <t>Cost of Goods Sold</t>
  </si>
  <si>
    <t>Gross Profit</t>
  </si>
  <si>
    <t>Selling and G&amp;A Expenses</t>
  </si>
  <si>
    <t>Fixed Expenses</t>
  </si>
  <si>
    <t>Depreciation Expense</t>
  </si>
  <si>
    <t>EBIT</t>
  </si>
  <si>
    <t>Interest Expense</t>
  </si>
  <si>
    <t>Earnings Before Taxes</t>
  </si>
  <si>
    <t>Taxes</t>
  </si>
  <si>
    <t>Net Income</t>
  </si>
  <si>
    <t>Tax Rate</t>
  </si>
  <si>
    <t xml:space="preserve">Notes: </t>
  </si>
  <si>
    <t>Assets</t>
  </si>
  <si>
    <t>Cash and Equivalents</t>
  </si>
  <si>
    <t>Accounts Receivable</t>
  </si>
  <si>
    <t>Inventory</t>
  </si>
  <si>
    <t>Total Current Assets</t>
  </si>
  <si>
    <t>Plant &amp; Equipment</t>
  </si>
  <si>
    <t>Accumulated Depreciation</t>
  </si>
  <si>
    <t>Net Fixed Assets</t>
  </si>
  <si>
    <t>Total Assets</t>
  </si>
  <si>
    <t>Liabilities and Owner’s Equity</t>
  </si>
  <si>
    <t>Accounts Payable</t>
  </si>
  <si>
    <t>Short-term Notes Payable</t>
  </si>
  <si>
    <t>Other Current Liabilities</t>
  </si>
  <si>
    <t>Total Current Liabilities</t>
  </si>
  <si>
    <t>Long-term Debt</t>
  </si>
  <si>
    <t>Total Liabilities</t>
  </si>
  <si>
    <t>Common Stock</t>
  </si>
  <si>
    <t>Retained Earnings</t>
  </si>
  <si>
    <t>Total Shareholder’s Equity</t>
  </si>
  <si>
    <t>Total Liabilities &amp; Owner’s Equity</t>
  </si>
  <si>
    <t>Balance sheet</t>
  </si>
  <si>
    <t>For the year ended Dec 31, 2024 ($ in 000's)</t>
  </si>
  <si>
    <t>As of December 31, 2024 ($ in 000's)</t>
  </si>
  <si>
    <t>Contribution</t>
  </si>
  <si>
    <t>Common-size Income Statement</t>
  </si>
  <si>
    <t>Common-size Balance Sheet</t>
  </si>
  <si>
    <t>As of Dec. 31, 2024</t>
  </si>
  <si>
    <t>Statement of Cash Flows</t>
  </si>
  <si>
    <t>Cash Flows from Operations</t>
  </si>
  <si>
    <t>Change in Accounts Receivable</t>
  </si>
  <si>
    <t>Change in Inventories</t>
  </si>
  <si>
    <t>Change in Accounts Payable</t>
  </si>
  <si>
    <t>Change in Other Current Liabilities</t>
  </si>
  <si>
    <t>Total Cash Flows from Operations</t>
  </si>
  <si>
    <t>Cash Flows from Investing</t>
  </si>
  <si>
    <t>Change in Plant &amp; Equipment</t>
  </si>
  <si>
    <t>Total Cash Flows from Investing</t>
  </si>
  <si>
    <t>Cash Flows from Financing</t>
  </si>
  <si>
    <t>Change in Short-term Notes Payable</t>
  </si>
  <si>
    <t>Change in Long-term Debt</t>
  </si>
  <si>
    <t>Change in Common Stock</t>
  </si>
  <si>
    <t>Cash Dividends Paid to Shareholders</t>
  </si>
  <si>
    <t>Total Cash Flows from Financing</t>
  </si>
  <si>
    <t>Net Change in Cash Balance</t>
  </si>
  <si>
    <t>Jack in the Box</t>
  </si>
  <si>
    <t>% of Sales</t>
  </si>
  <si>
    <t>Common-size Statement of Cash Flows</t>
  </si>
  <si>
    <t>For the Year Ended Dec. 31, 2024</t>
  </si>
  <si>
    <t>Denominator</t>
  </si>
  <si>
    <t>For the Year Ended Dec. 31, 2024 ($ in 000’s)</t>
  </si>
  <si>
    <t>Ratio Analysis for 2019 and 2020</t>
  </si>
  <si>
    <t>Ratio</t>
  </si>
  <si>
    <t>Liquidity Ratios</t>
  </si>
  <si>
    <t>Current Ratio</t>
  </si>
  <si>
    <t>2.33x</t>
  </si>
  <si>
    <t>Quick Ratio</t>
  </si>
  <si>
    <t>Inventory Turnover</t>
  </si>
  <si>
    <t>3.89x</t>
  </si>
  <si>
    <t>4.00x</t>
  </si>
  <si>
    <t>A/R Turnover</t>
  </si>
  <si>
    <t>9.58x</t>
  </si>
  <si>
    <t>9.77x</t>
  </si>
  <si>
    <t>Average Collection Period</t>
  </si>
  <si>
    <t>37.59 days</t>
  </si>
  <si>
    <t>36.84 days</t>
  </si>
  <si>
    <t>Fixed Asset Turnover</t>
  </si>
  <si>
    <t>10.67x</t>
  </si>
  <si>
    <t>9.95x</t>
  </si>
  <si>
    <t>Total Asset Turnover</t>
  </si>
  <si>
    <t>2.34x</t>
  </si>
  <si>
    <t>Efficancy Ratios</t>
  </si>
  <si>
    <t>Leverage Ratios</t>
  </si>
  <si>
    <t>Total Debt Ratio</t>
  </si>
  <si>
    <t>Long-term Debt Ratio</t>
  </si>
  <si>
    <t>Coverage Ratios</t>
  </si>
  <si>
    <t>Long-Term Debt to Total Capitalization Ratio</t>
  </si>
  <si>
    <t>Debt to Equity Ratio</t>
  </si>
  <si>
    <t>Long-Term Debt to Equity Ratio</t>
  </si>
  <si>
    <t>Times Interest  Ratio</t>
  </si>
  <si>
    <t>Cash Coverage Ratio</t>
  </si>
  <si>
    <t>Profitability Ratios</t>
  </si>
  <si>
    <t>Gross Profit Ratio</t>
  </si>
  <si>
    <t xml:space="preserve">Opporating Profit </t>
  </si>
  <si>
    <t>Net Profit Margin</t>
  </si>
  <si>
    <t xml:space="preserve">Return on Total Assets </t>
  </si>
  <si>
    <t>Return on Equity</t>
  </si>
  <si>
    <t>Return on Common Equity</t>
  </si>
  <si>
    <t>Ratio Analysis for 2023 and 2024</t>
  </si>
  <si>
    <t>DuPoint ROE</t>
  </si>
  <si>
    <t>Market Value of Equity</t>
  </si>
  <si>
    <t>Industry 2024</t>
  </si>
  <si>
    <t>Analysis</t>
  </si>
  <si>
    <t>Economic Profit Calculations</t>
  </si>
  <si>
    <t>NOPAT</t>
  </si>
  <si>
    <t>Total Operating Capital</t>
  </si>
  <si>
    <t>Economic Profit</t>
  </si>
  <si>
    <t>After-tax WACC</t>
  </si>
  <si>
    <t>Dollar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</si>
</sst>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.00"/>
    <numFmt numFmtId="165" formatCode="#,##0.00,"/>
    <numFmt numFmtId="166" formatCode="&quot;$&quot;#,##0.00,"/>
    <numFmt numFmtId="167" formatCode="0.00&quot;x&quot;"/>
    <numFmt numFmtId="168" formatCode="0.00\ &quot;days&quot;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0" applyNumberFormat="1"/>
    <xf numFmtId="164" fontId="0" fillId="0" borderId="0" xfId="0" applyNumberFormat="1"/>
    <xf numFmtId="0" fontId="2" fillId="0" borderId="2" xfId="0" applyFont="1" applyBorder="1"/>
    <xf numFmtId="0" fontId="0" fillId="0" borderId="2" xfId="0" applyBorder="1"/>
    <xf numFmtId="165" fontId="0" fillId="0" borderId="2" xfId="0" applyNumberFormat="1" applyBorder="1"/>
    <xf numFmtId="0" fontId="5" fillId="0" borderId="2" xfId="0" applyFont="1" applyBorder="1"/>
    <xf numFmtId="165" fontId="5" fillId="0" borderId="2" xfId="0" applyNumberFormat="1" applyFont="1" applyBorder="1"/>
    <xf numFmtId="166" fontId="0" fillId="0" borderId="2" xfId="0" applyNumberFormat="1" applyBorder="1"/>
    <xf numFmtId="0" fontId="0" fillId="0" borderId="3" xfId="0" applyBorder="1"/>
    <xf numFmtId="165" fontId="5" fillId="0" borderId="11" xfId="0" applyNumberFormat="1" applyFont="1" applyBorder="1"/>
    <xf numFmtId="166" fontId="0" fillId="0" borderId="3" xfId="0" applyNumberFormat="1" applyBorder="1"/>
    <xf numFmtId="0" fontId="3" fillId="2" borderId="2" xfId="0" applyFont="1" applyFill="1" applyBorder="1"/>
    <xf numFmtId="10" fontId="0" fillId="0" borderId="2" xfId="0" applyNumberFormat="1" applyBorder="1"/>
    <xf numFmtId="0" fontId="0" fillId="2" borderId="3" xfId="0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5" fillId="0" borderId="2" xfId="0" applyNumberFormat="1" applyFont="1" applyBorder="1"/>
    <xf numFmtId="166" fontId="5" fillId="0" borderId="11" xfId="0" applyNumberFormat="1" applyFont="1" applyBorder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10" fontId="2" fillId="0" borderId="2" xfId="0" applyNumberFormat="1" applyFont="1" applyBorder="1"/>
    <xf numFmtId="10" fontId="5" fillId="0" borderId="2" xfId="0" applyNumberFormat="1" applyFont="1" applyBorder="1"/>
    <xf numFmtId="0" fontId="5" fillId="2" borderId="12" xfId="0" applyFont="1" applyFill="1" applyBorder="1"/>
    <xf numFmtId="0" fontId="3" fillId="2" borderId="12" xfId="0" applyFont="1" applyFill="1" applyBorder="1"/>
    <xf numFmtId="0" fontId="5" fillId="0" borderId="13" xfId="0" applyFont="1" applyBorder="1"/>
    <xf numFmtId="0" fontId="2" fillId="2" borderId="12" xfId="0" applyFont="1" applyFill="1" applyBorder="1"/>
    <xf numFmtId="0" fontId="5" fillId="0" borderId="14" xfId="0" applyFont="1" applyBorder="1"/>
    <xf numFmtId="10" fontId="5" fillId="0" borderId="11" xfId="0" applyNumberFormat="1" applyFont="1" applyBorder="1"/>
    <xf numFmtId="0" fontId="2" fillId="0" borderId="13" xfId="0" applyFont="1" applyBorder="1"/>
    <xf numFmtId="165" fontId="0" fillId="0" borderId="3" xfId="0" applyNumberFormat="1" applyBorder="1"/>
    <xf numFmtId="0" fontId="2" fillId="2" borderId="15" xfId="0" applyFont="1" applyFill="1" applyBorder="1"/>
    <xf numFmtId="165" fontId="0" fillId="2" borderId="16" xfId="0" applyNumberFormat="1" applyFill="1" applyBorder="1"/>
    <xf numFmtId="165" fontId="0" fillId="2" borderId="17" xfId="0" applyNumberFormat="1" applyFill="1" applyBorder="1"/>
    <xf numFmtId="0" fontId="0" fillId="2" borderId="16" xfId="0" applyFill="1" applyBorder="1"/>
    <xf numFmtId="0" fontId="0" fillId="2" borderId="17" xfId="0" applyFill="1" applyBorder="1"/>
    <xf numFmtId="0" fontId="2" fillId="2" borderId="18" xfId="0" applyFont="1" applyFill="1" applyBorder="1"/>
    <xf numFmtId="0" fontId="0" fillId="2" borderId="19" xfId="0" applyFill="1" applyBorder="1"/>
    <xf numFmtId="0" fontId="0" fillId="2" borderId="20" xfId="0" applyFill="1" applyBorder="1"/>
    <xf numFmtId="165" fontId="3" fillId="0" borderId="13" xfId="0" applyNumberFormat="1" applyFont="1" applyBorder="1"/>
    <xf numFmtId="165" fontId="5" fillId="0" borderId="13" xfId="0" applyNumberFormat="1" applyFont="1" applyBorder="1"/>
    <xf numFmtId="0" fontId="5" fillId="2" borderId="15" xfId="0" applyFont="1" applyFill="1" applyBorder="1"/>
    <xf numFmtId="165" fontId="3" fillId="2" borderId="16" xfId="0" applyNumberFormat="1" applyFont="1" applyFill="1" applyBorder="1"/>
    <xf numFmtId="165" fontId="3" fillId="2" borderId="17" xfId="0" applyNumberFormat="1" applyFont="1" applyFill="1" applyBorder="1"/>
    <xf numFmtId="10" fontId="0" fillId="0" borderId="3" xfId="0" applyNumberFormat="1" applyBorder="1"/>
    <xf numFmtId="10" fontId="2" fillId="0" borderId="13" xfId="0" applyNumberFormat="1" applyFont="1" applyBorder="1"/>
    <xf numFmtId="0" fontId="2" fillId="2" borderId="16" xfId="0" applyFont="1" applyFill="1" applyBorder="1"/>
    <xf numFmtId="10" fontId="0" fillId="0" borderId="3" xfId="1" applyNumberFormat="1" applyFont="1" applyBorder="1"/>
    <xf numFmtId="10" fontId="0" fillId="0" borderId="2" xfId="1" applyNumberFormat="1" applyFont="1" applyBorder="1"/>
    <xf numFmtId="10" fontId="5" fillId="0" borderId="13" xfId="1" applyNumberFormat="1" applyFont="1" applyBorder="1"/>
    <xf numFmtId="10" fontId="3" fillId="0" borderId="13" xfId="1" applyNumberFormat="1" applyFont="1" applyBorder="1"/>
    <xf numFmtId="10" fontId="5" fillId="0" borderId="2" xfId="1" applyNumberFormat="1" applyFont="1" applyBorder="1"/>
    <xf numFmtId="10" fontId="0" fillId="0" borderId="0" xfId="1" applyNumberFormat="1" applyFont="1"/>
    <xf numFmtId="10" fontId="5" fillId="0" borderId="11" xfId="1" applyNumberFormat="1" applyFont="1" applyBorder="1"/>
    <xf numFmtId="10" fontId="2" fillId="0" borderId="11" xfId="0" applyNumberFormat="1" applyFont="1" applyBorder="1"/>
    <xf numFmtId="0" fontId="2" fillId="2" borderId="19" xfId="0" applyFont="1" applyFill="1" applyBorder="1"/>
    <xf numFmtId="0" fontId="2" fillId="2" borderId="20" xfId="0" applyFont="1" applyFill="1" applyBorder="1"/>
    <xf numFmtId="0" fontId="0" fillId="0" borderId="13" xfId="0" applyBorder="1"/>
    <xf numFmtId="164" fontId="2" fillId="0" borderId="21" xfId="0" applyNumberFormat="1" applyFont="1" applyBorder="1"/>
    <xf numFmtId="0" fontId="0" fillId="0" borderId="21" xfId="0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0" fontId="0" fillId="0" borderId="9" xfId="0" applyBorder="1"/>
    <xf numFmtId="9" fontId="0" fillId="0" borderId="1" xfId="0" applyNumberFormat="1" applyBorder="1"/>
    <xf numFmtId="0" fontId="0" fillId="0" borderId="10" xfId="0" applyBorder="1"/>
    <xf numFmtId="166" fontId="0" fillId="2" borderId="1" xfId="0" applyNumberFormat="1" applyFill="1" applyBorder="1"/>
    <xf numFmtId="166" fontId="0" fillId="2" borderId="10" xfId="0" applyNumberFormat="1" applyFill="1" applyBorder="1"/>
    <xf numFmtId="0" fontId="3" fillId="2" borderId="9" xfId="0" applyFont="1" applyFill="1" applyBorder="1"/>
    <xf numFmtId="0" fontId="3" fillId="2" borderId="1" xfId="0" applyFont="1" applyFill="1" applyBorder="1"/>
    <xf numFmtId="0" fontId="3" fillId="2" borderId="10" xfId="0" applyFont="1" applyFill="1" applyBorder="1"/>
    <xf numFmtId="167" fontId="0" fillId="0" borderId="3" xfId="0" applyNumberFormat="1" applyBorder="1"/>
    <xf numFmtId="0" fontId="0" fillId="0" borderId="12" xfId="0" applyBorder="1"/>
    <xf numFmtId="10" fontId="0" fillId="0" borderId="13" xfId="0" applyNumberFormat="1" applyBorder="1"/>
    <xf numFmtId="10" fontId="0" fillId="0" borderId="12" xfId="0" applyNumberFormat="1" applyBorder="1"/>
    <xf numFmtId="3" fontId="0" fillId="0" borderId="0" xfId="0" applyNumberFormat="1"/>
    <xf numFmtId="0" fontId="0" fillId="0" borderId="13" xfId="0" applyBorder="1" applyAlignment="1">
      <alignment horizontal="center"/>
    </xf>
    <xf numFmtId="167" fontId="0" fillId="0" borderId="2" xfId="0" applyNumberFormat="1" applyBorder="1"/>
    <xf numFmtId="167" fontId="0" fillId="0" borderId="2" xfId="0" applyNumberFormat="1" applyBorder="1" applyAlignment="1">
      <alignment horizontal="right" indent="1"/>
    </xf>
    <xf numFmtId="168" fontId="0" fillId="0" borderId="2" xfId="0" applyNumberFormat="1" applyBorder="1" applyAlignment="1">
      <alignment horizontal="right" indent="1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7" fontId="0" fillId="0" borderId="13" xfId="0" applyNumberFormat="1" applyBorder="1" applyAlignment="1">
      <alignment horizontal="right" indent="1"/>
    </xf>
    <xf numFmtId="167" fontId="0" fillId="0" borderId="21" xfId="0" applyNumberFormat="1" applyBorder="1"/>
    <xf numFmtId="167" fontId="0" fillId="0" borderId="3" xfId="0" applyNumberFormat="1" applyBorder="1" applyAlignment="1">
      <alignment horizontal="right" indent="1"/>
    </xf>
    <xf numFmtId="167" fontId="0" fillId="0" borderId="13" xfId="0" applyNumberFormat="1" applyBorder="1"/>
    <xf numFmtId="0" fontId="0" fillId="0" borderId="32" xfId="0" applyBorder="1"/>
    <xf numFmtId="9" fontId="0" fillId="0" borderId="3" xfId="1" applyFont="1" applyBorder="1"/>
    <xf numFmtId="10" fontId="0" fillId="0" borderId="13" xfId="1" applyNumberFormat="1" applyFont="1" applyBorder="1"/>
    <xf numFmtId="0" fontId="0" fillId="0" borderId="14" xfId="0" applyBorder="1"/>
    <xf numFmtId="9" fontId="0" fillId="0" borderId="2" xfId="0" applyNumberFormat="1" applyBorder="1"/>
    <xf numFmtId="44" fontId="0" fillId="0" borderId="2" xfId="2" applyFont="1" applyBorder="1"/>
    <xf numFmtId="44" fontId="0" fillId="0" borderId="2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BFF5-B567-2344-9ADE-37035E165BDA}">
  <dimension ref="A1:D19"/>
  <sheetViews>
    <sheetView zoomScale="150" zoomScaleNormal="100" workbookViewId="0">
      <selection activeCell="E15" sqref="E15"/>
    </sheetView>
  </sheetViews>
  <sheetFormatPr baseColWidth="10" defaultRowHeight="16" x14ac:dyDescent="0.2"/>
  <cols>
    <col min="1" max="1" width="26.83203125" customWidth="1"/>
    <col min="2" max="3" width="12.6640625" bestFit="1" customWidth="1"/>
    <col min="4" max="4" width="11.1640625" bestFit="1" customWidth="1"/>
  </cols>
  <sheetData>
    <row r="1" spans="1:4" x14ac:dyDescent="0.2">
      <c r="A1" s="96" t="s">
        <v>0</v>
      </c>
      <c r="B1" s="97"/>
      <c r="C1" s="98"/>
    </row>
    <row r="2" spans="1:4" x14ac:dyDescent="0.2">
      <c r="A2" s="99" t="s">
        <v>1</v>
      </c>
      <c r="B2" s="100"/>
      <c r="C2" s="101"/>
    </row>
    <row r="3" spans="1:4" ht="17" thickBot="1" x14ac:dyDescent="0.25">
      <c r="A3" s="99" t="s">
        <v>37</v>
      </c>
      <c r="B3" s="100"/>
      <c r="C3" s="101"/>
    </row>
    <row r="4" spans="1:4" ht="17" thickTop="1" x14ac:dyDescent="0.2">
      <c r="A4" s="38"/>
      <c r="B4" s="57">
        <v>2024</v>
      </c>
      <c r="C4" s="58">
        <v>2023</v>
      </c>
    </row>
    <row r="5" spans="1:4" x14ac:dyDescent="0.2">
      <c r="A5" s="11" t="s">
        <v>3</v>
      </c>
      <c r="B5" s="32">
        <v>3850000</v>
      </c>
      <c r="C5" s="32">
        <v>3432000</v>
      </c>
    </row>
    <row r="6" spans="1:4" x14ac:dyDescent="0.2">
      <c r="A6" s="6" t="s">
        <v>4</v>
      </c>
      <c r="B6" s="7">
        <v>3250000</v>
      </c>
      <c r="C6" s="7">
        <v>2864000</v>
      </c>
    </row>
    <row r="7" spans="1:4" x14ac:dyDescent="0.2">
      <c r="A7" s="8" t="s">
        <v>5</v>
      </c>
      <c r="B7" s="9">
        <f>B5-B6</f>
        <v>600000</v>
      </c>
      <c r="C7" s="9">
        <f>C5-C6</f>
        <v>568000</v>
      </c>
    </row>
    <row r="8" spans="1:4" x14ac:dyDescent="0.2">
      <c r="A8" s="6" t="s">
        <v>6</v>
      </c>
      <c r="B8" s="7">
        <v>330300</v>
      </c>
      <c r="C8" s="7">
        <v>240000</v>
      </c>
    </row>
    <row r="9" spans="1:4" x14ac:dyDescent="0.2">
      <c r="A9" s="6" t="s">
        <v>7</v>
      </c>
      <c r="B9" s="7">
        <v>100000</v>
      </c>
      <c r="C9" s="7">
        <v>100000</v>
      </c>
    </row>
    <row r="10" spans="1:4" x14ac:dyDescent="0.2">
      <c r="A10" s="6" t="s">
        <v>8</v>
      </c>
      <c r="B10" s="7">
        <v>20000</v>
      </c>
      <c r="C10" s="7">
        <v>18900</v>
      </c>
    </row>
    <row r="11" spans="1:4" x14ac:dyDescent="0.2">
      <c r="A11" s="8" t="s">
        <v>9</v>
      </c>
      <c r="B11" s="9">
        <f>B7-B8-B9-B10</f>
        <v>149700</v>
      </c>
      <c r="C11" s="9">
        <f>C7-C8-C9-C10</f>
        <v>209100</v>
      </c>
      <c r="D11" s="4"/>
    </row>
    <row r="12" spans="1:4" x14ac:dyDescent="0.2">
      <c r="A12" s="6" t="s">
        <v>10</v>
      </c>
      <c r="B12" s="7">
        <v>76000</v>
      </c>
      <c r="C12" s="7">
        <v>62500</v>
      </c>
    </row>
    <row r="13" spans="1:4" x14ac:dyDescent="0.2">
      <c r="A13" s="8" t="s">
        <v>11</v>
      </c>
      <c r="B13" s="9">
        <f>B11-B12</f>
        <v>73700</v>
      </c>
      <c r="C13" s="9">
        <f>C11-C12</f>
        <v>146600</v>
      </c>
    </row>
    <row r="14" spans="1:4" x14ac:dyDescent="0.2">
      <c r="A14" s="6" t="s">
        <v>12</v>
      </c>
      <c r="B14" s="7">
        <v>18425</v>
      </c>
      <c r="C14" s="7">
        <v>36650</v>
      </c>
    </row>
    <row r="15" spans="1:4" ht="17" thickBot="1" x14ac:dyDescent="0.25">
      <c r="A15" s="8" t="s">
        <v>13</v>
      </c>
      <c r="B15" s="12">
        <f>B13-B14</f>
        <v>55275</v>
      </c>
      <c r="C15" s="12">
        <f>C13-C14</f>
        <v>109950</v>
      </c>
    </row>
    <row r="16" spans="1:4" ht="17" thickTop="1" x14ac:dyDescent="0.2">
      <c r="A16" s="59"/>
      <c r="B16" s="60"/>
      <c r="C16" s="61"/>
    </row>
    <row r="17" spans="1:3" x14ac:dyDescent="0.2">
      <c r="A17" s="62" t="s">
        <v>15</v>
      </c>
      <c r="B17" s="63"/>
      <c r="C17" s="64"/>
    </row>
    <row r="18" spans="1:3" x14ac:dyDescent="0.2">
      <c r="A18" s="65" t="s">
        <v>14</v>
      </c>
      <c r="B18" s="66">
        <v>0.25</v>
      </c>
      <c r="C18" s="67"/>
    </row>
    <row r="19" spans="1:3" x14ac:dyDescent="0.2">
      <c r="A19" s="1"/>
      <c r="B19" s="3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C29D-3266-4542-9F1C-60998F2444C1}">
  <dimension ref="A1:C24"/>
  <sheetViews>
    <sheetView zoomScale="164" workbookViewId="0">
      <selection activeCell="C25" sqref="C25"/>
    </sheetView>
  </sheetViews>
  <sheetFormatPr baseColWidth="10" defaultRowHeight="16" x14ac:dyDescent="0.2"/>
  <cols>
    <col min="1" max="1" width="30.33203125" customWidth="1"/>
    <col min="2" max="2" width="11.83203125" customWidth="1"/>
    <col min="3" max="3" width="12.6640625" bestFit="1" customWidth="1"/>
  </cols>
  <sheetData>
    <row r="1" spans="1:3" x14ac:dyDescent="0.2">
      <c r="A1" s="102" t="s">
        <v>0</v>
      </c>
      <c r="B1" s="103"/>
      <c r="C1" s="104"/>
    </row>
    <row r="2" spans="1:3" x14ac:dyDescent="0.2">
      <c r="A2" s="105" t="s">
        <v>36</v>
      </c>
      <c r="B2" s="106"/>
      <c r="C2" s="107"/>
    </row>
    <row r="3" spans="1:3" ht="17" thickBot="1" x14ac:dyDescent="0.25">
      <c r="A3" s="105" t="s">
        <v>38</v>
      </c>
      <c r="B3" s="106"/>
      <c r="C3" s="107"/>
    </row>
    <row r="4" spans="1:3" ht="17" thickTop="1" x14ac:dyDescent="0.2">
      <c r="A4" s="38" t="s">
        <v>16</v>
      </c>
      <c r="B4" s="39">
        <v>2024</v>
      </c>
      <c r="C4" s="40">
        <v>2023</v>
      </c>
    </row>
    <row r="5" spans="1:3" x14ac:dyDescent="0.2">
      <c r="A5" s="22" t="s">
        <v>17</v>
      </c>
      <c r="B5" s="13">
        <v>52000</v>
      </c>
      <c r="C5" s="13">
        <v>57600</v>
      </c>
    </row>
    <row r="6" spans="1:3" x14ac:dyDescent="0.2">
      <c r="A6" s="21" t="s">
        <v>18</v>
      </c>
      <c r="B6" s="10">
        <v>402000</v>
      </c>
      <c r="C6" s="10">
        <v>351200</v>
      </c>
    </row>
    <row r="7" spans="1:3" x14ac:dyDescent="0.2">
      <c r="A7" s="21" t="s">
        <v>19</v>
      </c>
      <c r="B7" s="10">
        <v>836000</v>
      </c>
      <c r="C7" s="10">
        <v>715200</v>
      </c>
    </row>
    <row r="8" spans="1:3" x14ac:dyDescent="0.2">
      <c r="A8" s="8" t="s">
        <v>20</v>
      </c>
      <c r="B8" s="19">
        <f>SUM(B5:B7)</f>
        <v>1290000</v>
      </c>
      <c r="C8" s="19">
        <f>SUM(C5:C7)</f>
        <v>1124000</v>
      </c>
    </row>
    <row r="9" spans="1:3" x14ac:dyDescent="0.2">
      <c r="A9" s="21" t="s">
        <v>21</v>
      </c>
      <c r="B9" s="10">
        <v>527000</v>
      </c>
      <c r="C9" s="10">
        <v>491000</v>
      </c>
    </row>
    <row r="10" spans="1:3" x14ac:dyDescent="0.2">
      <c r="A10" s="21" t="s">
        <v>22</v>
      </c>
      <c r="B10" s="10">
        <v>166200</v>
      </c>
      <c r="C10" s="10">
        <v>146200</v>
      </c>
    </row>
    <row r="11" spans="1:3" x14ac:dyDescent="0.2">
      <c r="A11" s="8" t="s">
        <v>23</v>
      </c>
      <c r="B11" s="19">
        <f>B9-B10</f>
        <v>360800</v>
      </c>
      <c r="C11" s="19">
        <f>C9-C10</f>
        <v>344800</v>
      </c>
    </row>
    <row r="12" spans="1:3" ht="17" thickBot="1" x14ac:dyDescent="0.25">
      <c r="A12" s="27" t="s">
        <v>24</v>
      </c>
      <c r="B12" s="20">
        <f>B8+B11</f>
        <v>1650800</v>
      </c>
      <c r="C12" s="20">
        <f>C8+C11</f>
        <v>1468800</v>
      </c>
    </row>
    <row r="13" spans="1:3" ht="17" thickTop="1" x14ac:dyDescent="0.2">
      <c r="A13" s="33" t="s">
        <v>25</v>
      </c>
      <c r="B13" s="68"/>
      <c r="C13" s="69"/>
    </row>
    <row r="14" spans="1:3" x14ac:dyDescent="0.2">
      <c r="A14" s="22" t="s">
        <v>26</v>
      </c>
      <c r="B14" s="13">
        <v>175200</v>
      </c>
      <c r="C14" s="13">
        <v>145600</v>
      </c>
    </row>
    <row r="15" spans="1:3" x14ac:dyDescent="0.2">
      <c r="A15" s="21" t="s">
        <v>27</v>
      </c>
      <c r="B15" s="10">
        <v>225000</v>
      </c>
      <c r="C15" s="10">
        <v>200000</v>
      </c>
    </row>
    <row r="16" spans="1:3" x14ac:dyDescent="0.2">
      <c r="A16" s="21" t="s">
        <v>28</v>
      </c>
      <c r="B16" s="10">
        <v>140000</v>
      </c>
      <c r="C16" s="10">
        <v>136000</v>
      </c>
    </row>
    <row r="17" spans="1:3" x14ac:dyDescent="0.2">
      <c r="A17" s="8" t="s">
        <v>29</v>
      </c>
      <c r="B17" s="19">
        <f>SUM(B14:B16)</f>
        <v>540200</v>
      </c>
      <c r="C17" s="19">
        <f>SUM(C14:C16)</f>
        <v>481600</v>
      </c>
    </row>
    <row r="18" spans="1:3" x14ac:dyDescent="0.2">
      <c r="A18" s="21" t="s">
        <v>30</v>
      </c>
      <c r="B18" s="10">
        <v>424612</v>
      </c>
      <c r="C18" s="10">
        <v>323432</v>
      </c>
    </row>
    <row r="19" spans="1:3" x14ac:dyDescent="0.2">
      <c r="A19" s="8" t="s">
        <v>31</v>
      </c>
      <c r="B19" s="19">
        <f>B17+B18</f>
        <v>964812</v>
      </c>
      <c r="C19" s="19">
        <f>C17+C18</f>
        <v>805032</v>
      </c>
    </row>
    <row r="20" spans="1:3" x14ac:dyDescent="0.2">
      <c r="A20" s="21" t="s">
        <v>32</v>
      </c>
      <c r="B20" s="10">
        <v>460000</v>
      </c>
      <c r="C20" s="10">
        <v>460000</v>
      </c>
    </row>
    <row r="21" spans="1:3" x14ac:dyDescent="0.2">
      <c r="A21" s="21" t="s">
        <v>33</v>
      </c>
      <c r="B21" s="10">
        <v>225988</v>
      </c>
      <c r="C21" s="10">
        <v>203768</v>
      </c>
    </row>
    <row r="22" spans="1:3" x14ac:dyDescent="0.2">
      <c r="A22" s="8" t="s">
        <v>34</v>
      </c>
      <c r="B22" s="19">
        <f>B20+B21</f>
        <v>685988</v>
      </c>
      <c r="C22" s="19">
        <f>C20+C21</f>
        <v>663768</v>
      </c>
    </row>
    <row r="23" spans="1:3" ht="17" thickBot="1" x14ac:dyDescent="0.25">
      <c r="A23" s="8" t="s">
        <v>35</v>
      </c>
      <c r="B23" s="20">
        <f>B19+B22</f>
        <v>1650800</v>
      </c>
      <c r="C23" s="20">
        <f>C19+C22</f>
        <v>1468800</v>
      </c>
    </row>
    <row r="24" spans="1:3" ht="17" thickTop="1" x14ac:dyDescent="0.2"/>
  </sheetData>
  <mergeCells count="3">
    <mergeCell ref="A1:C1"/>
    <mergeCell ref="A2:C2"/>
    <mergeCell ref="A3:C3"/>
  </mergeCells>
  <pageMargins left="0.7" right="0.7" top="0.75" bottom="0.75" header="0.3" footer="0.3"/>
  <ignoredErrors>
    <ignoredError sqref="C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8151-20E4-C244-AC3B-E01ECCB427BD}">
  <dimension ref="A1:E16"/>
  <sheetViews>
    <sheetView zoomScale="200" workbookViewId="0">
      <selection activeCell="B7" sqref="B7"/>
    </sheetView>
  </sheetViews>
  <sheetFormatPr baseColWidth="10" defaultRowHeight="16" x14ac:dyDescent="0.2"/>
  <cols>
    <col min="1" max="1" width="31.33203125" customWidth="1"/>
    <col min="4" max="4" width="3.5" customWidth="1"/>
    <col min="5" max="5" width="13.33203125" customWidth="1"/>
  </cols>
  <sheetData>
    <row r="1" spans="1:5" x14ac:dyDescent="0.2">
      <c r="A1" s="108" t="s">
        <v>60</v>
      </c>
      <c r="B1" s="109"/>
      <c r="C1" s="110"/>
      <c r="D1" s="17"/>
    </row>
    <row r="2" spans="1:5" x14ac:dyDescent="0.2">
      <c r="A2" s="111" t="s">
        <v>40</v>
      </c>
      <c r="B2" s="112"/>
      <c r="C2" s="113"/>
      <c r="D2" s="17"/>
    </row>
    <row r="3" spans="1:5" x14ac:dyDescent="0.2">
      <c r="A3" s="114" t="s">
        <v>63</v>
      </c>
      <c r="B3" s="115"/>
      <c r="C3" s="116"/>
      <c r="D3" s="18"/>
    </row>
    <row r="4" spans="1:5" x14ac:dyDescent="0.2">
      <c r="A4" s="70"/>
      <c r="B4" s="71">
        <v>2024</v>
      </c>
      <c r="C4" s="72">
        <v>2023</v>
      </c>
      <c r="D4" s="2"/>
      <c r="E4" s="14" t="s">
        <v>39</v>
      </c>
    </row>
    <row r="5" spans="1:5" x14ac:dyDescent="0.2">
      <c r="A5" s="11" t="s">
        <v>3</v>
      </c>
      <c r="B5" s="46">
        <f>'Income Statement'!B5/'Income Statement'!$B$5</f>
        <v>1</v>
      </c>
      <c r="C5" s="46">
        <f>'Income Statement'!C5/'Income Statement'!$C$5</f>
        <v>1</v>
      </c>
      <c r="E5" s="6"/>
    </row>
    <row r="6" spans="1:5" x14ac:dyDescent="0.2">
      <c r="A6" s="6" t="s">
        <v>4</v>
      </c>
      <c r="B6" s="15">
        <f>'Income Statement'!B6/'Income Statement'!$B$5</f>
        <v>0.8441558441558441</v>
      </c>
      <c r="C6" s="15">
        <f>'Income Statement'!C6/'Income Statement'!$C$5</f>
        <v>0.83449883449883455</v>
      </c>
      <c r="E6" s="15">
        <f>C6-B6</f>
        <v>-9.6570096570095521E-3</v>
      </c>
    </row>
    <row r="7" spans="1:5" x14ac:dyDescent="0.2">
      <c r="A7" s="8" t="s">
        <v>5</v>
      </c>
      <c r="B7" s="24">
        <f>'Income Statement'!B7/'Income Statement'!$B$5</f>
        <v>0.15584415584415584</v>
      </c>
      <c r="C7" s="24">
        <f>'Income Statement'!C7/'Income Statement'!$C$5</f>
        <v>0.1655011655011655</v>
      </c>
      <c r="E7" s="15"/>
    </row>
    <row r="8" spans="1:5" x14ac:dyDescent="0.2">
      <c r="A8" s="6" t="s">
        <v>6</v>
      </c>
      <c r="B8" s="15">
        <f>'Income Statement'!B8/'Income Statement'!$B$5</f>
        <v>8.5792207792207795E-2</v>
      </c>
      <c r="C8" s="15">
        <f>'Income Statement'!C8/'Income Statement'!$C$5</f>
        <v>6.9930069930069935E-2</v>
      </c>
      <c r="E8" s="15">
        <f>C8-B8</f>
        <v>-1.5862137862137859E-2</v>
      </c>
    </row>
    <row r="9" spans="1:5" x14ac:dyDescent="0.2">
      <c r="A9" s="6" t="s">
        <v>7</v>
      </c>
      <c r="B9" s="15">
        <f>'Income Statement'!B9/'Income Statement'!$B$5</f>
        <v>2.5974025974025976E-2</v>
      </c>
      <c r="C9" s="15">
        <f>'Income Statement'!C9/'Income Statement'!$C$5</f>
        <v>2.9137529137529136E-2</v>
      </c>
      <c r="E9" s="15">
        <f>C9-B9</f>
        <v>3.1635031635031605E-3</v>
      </c>
    </row>
    <row r="10" spans="1:5" x14ac:dyDescent="0.2">
      <c r="A10" s="6" t="s">
        <v>8</v>
      </c>
      <c r="B10" s="15">
        <f>'Income Statement'!B10/'Income Statement'!$B$5</f>
        <v>5.1948051948051948E-3</v>
      </c>
      <c r="C10" s="15">
        <f>'Income Statement'!C10/'Income Statement'!$C$5</f>
        <v>5.5069930069930068E-3</v>
      </c>
      <c r="E10" s="15">
        <f>C10-B10</f>
        <v>3.1218781218781202E-4</v>
      </c>
    </row>
    <row r="11" spans="1:5" x14ac:dyDescent="0.2">
      <c r="A11" s="8" t="s">
        <v>9</v>
      </c>
      <c r="B11" s="24">
        <f>'Income Statement'!B11/'Income Statement'!$B$5</f>
        <v>3.8883116883116881E-2</v>
      </c>
      <c r="C11" s="24">
        <f>'Income Statement'!C11/'Income Statement'!$C$5</f>
        <v>6.0926573426573427E-2</v>
      </c>
      <c r="E11" s="15"/>
    </row>
    <row r="12" spans="1:5" x14ac:dyDescent="0.2">
      <c r="A12" s="6" t="s">
        <v>10</v>
      </c>
      <c r="B12" s="15">
        <f>'Income Statement'!B12/'Income Statement'!$B$5</f>
        <v>1.9740259740259742E-2</v>
      </c>
      <c r="C12" s="15">
        <f>'Income Statement'!C12/'Income Statement'!$C$5</f>
        <v>1.8210955710955712E-2</v>
      </c>
      <c r="E12" s="15">
        <f>C12-B12</f>
        <v>-1.5293040293040301E-3</v>
      </c>
    </row>
    <row r="13" spans="1:5" x14ac:dyDescent="0.2">
      <c r="A13" s="8" t="s">
        <v>11</v>
      </c>
      <c r="B13" s="24">
        <f>'Income Statement'!B13/'Income Statement'!$B$5</f>
        <v>1.9142857142857142E-2</v>
      </c>
      <c r="C13" s="24">
        <f>'Income Statement'!C13/'Income Statement'!$C$5</f>
        <v>4.2715617715617715E-2</v>
      </c>
      <c r="E13" s="15"/>
    </row>
    <row r="14" spans="1:5" x14ac:dyDescent="0.2">
      <c r="A14" s="6" t="s">
        <v>12</v>
      </c>
      <c r="B14" s="15">
        <f>'Income Statement'!B14/'Income Statement'!$B$5</f>
        <v>4.7857142857142855E-3</v>
      </c>
      <c r="C14" s="15">
        <f>'Income Statement'!C14/'Income Statement'!$C$5</f>
        <v>1.0678904428904429E-2</v>
      </c>
      <c r="E14" s="15">
        <f>C14-B14</f>
        <v>5.8931901431901433E-3</v>
      </c>
    </row>
    <row r="15" spans="1:5" ht="17" thickBot="1" x14ac:dyDescent="0.25">
      <c r="A15" s="8" t="s">
        <v>13</v>
      </c>
      <c r="B15" s="30">
        <f>'Income Statement'!B15/'Income Statement'!$B$5</f>
        <v>1.4357142857142857E-2</v>
      </c>
      <c r="C15" s="30">
        <f>'Income Statement'!C15/'Income Statement'!$C$5</f>
        <v>3.2036713286713286E-2</v>
      </c>
      <c r="E15" s="56">
        <f>SUM(E6:E14)</f>
        <v>-1.7679570429570326E-2</v>
      </c>
    </row>
    <row r="16" spans="1:5" ht="17" thickTop="1" x14ac:dyDescent="0.2"/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2CB4-B7E4-9740-BE5F-4BD1B35490EE}">
  <dimension ref="A1:C23"/>
  <sheetViews>
    <sheetView zoomScale="150" workbookViewId="0">
      <selection activeCell="F22" sqref="F22"/>
    </sheetView>
  </sheetViews>
  <sheetFormatPr baseColWidth="10" defaultRowHeight="16" x14ac:dyDescent="0.2"/>
  <cols>
    <col min="1" max="1" width="30.33203125" customWidth="1"/>
  </cols>
  <sheetData>
    <row r="1" spans="1:3" x14ac:dyDescent="0.2">
      <c r="A1" s="117" t="s">
        <v>60</v>
      </c>
      <c r="B1" s="117"/>
      <c r="C1" s="117"/>
    </row>
    <row r="2" spans="1:3" x14ac:dyDescent="0.2">
      <c r="A2" s="117" t="s">
        <v>41</v>
      </c>
      <c r="B2" s="117"/>
      <c r="C2" s="117"/>
    </row>
    <row r="3" spans="1:3" ht="17" thickBot="1" x14ac:dyDescent="0.25">
      <c r="A3" s="118" t="s">
        <v>42</v>
      </c>
      <c r="B3" s="118"/>
      <c r="C3" s="118"/>
    </row>
    <row r="4" spans="1:3" ht="17" thickTop="1" x14ac:dyDescent="0.2">
      <c r="A4" s="25" t="s">
        <v>16</v>
      </c>
      <c r="B4" s="26">
        <v>2024</v>
      </c>
      <c r="C4" s="26">
        <v>2023</v>
      </c>
    </row>
    <row r="5" spans="1:3" x14ac:dyDescent="0.2">
      <c r="A5" s="21" t="s">
        <v>17</v>
      </c>
      <c r="B5" s="15">
        <f>'Balance Sheet'!B5/'Balance Sheet'!B$12</f>
        <v>3.1499878846619818E-2</v>
      </c>
      <c r="C5" s="15">
        <f>'Balance Sheet'!C5/'Balance Sheet'!C$12</f>
        <v>3.9215686274509803E-2</v>
      </c>
    </row>
    <row r="6" spans="1:3" x14ac:dyDescent="0.2">
      <c r="A6" s="21" t="s">
        <v>18</v>
      </c>
      <c r="B6" s="15">
        <f>'Balance Sheet'!B6/'Balance Sheet'!B$12</f>
        <v>0.24351829416040707</v>
      </c>
      <c r="C6" s="15">
        <f>'Balance Sheet'!C6/'Balance Sheet'!C$12</f>
        <v>0.23910675381263616</v>
      </c>
    </row>
    <row r="7" spans="1:3" x14ac:dyDescent="0.2">
      <c r="A7" s="21" t="s">
        <v>19</v>
      </c>
      <c r="B7" s="15">
        <f>'Balance Sheet'!B7/'Balance Sheet'!B$12</f>
        <v>0.50642112914950332</v>
      </c>
      <c r="C7" s="15">
        <f>'Balance Sheet'!C7/'Balance Sheet'!C$12</f>
        <v>0.48692810457516339</v>
      </c>
    </row>
    <row r="8" spans="1:3" x14ac:dyDescent="0.2">
      <c r="A8" s="8" t="s">
        <v>20</v>
      </c>
      <c r="B8" s="24">
        <f>'Balance Sheet'!B8/'Balance Sheet'!B$12</f>
        <v>0.78143930215653012</v>
      </c>
      <c r="C8" s="24">
        <f>'Balance Sheet'!C8/'Balance Sheet'!C$12</f>
        <v>0.76525054466230935</v>
      </c>
    </row>
    <row r="9" spans="1:3" x14ac:dyDescent="0.2">
      <c r="A9" s="21" t="s">
        <v>21</v>
      </c>
      <c r="B9" s="15">
        <f>'Balance Sheet'!B9/'Balance Sheet'!B$12</f>
        <v>0.31923915677247394</v>
      </c>
      <c r="C9" s="15">
        <f>'Balance Sheet'!C9/'Balance Sheet'!C$12</f>
        <v>0.33428649237472768</v>
      </c>
    </row>
    <row r="10" spans="1:3" x14ac:dyDescent="0.2">
      <c r="A10" s="21" t="s">
        <v>22</v>
      </c>
      <c r="B10" s="15">
        <f>'Balance Sheet'!B10/'Balance Sheet'!B$12</f>
        <v>0.10067845892900412</v>
      </c>
      <c r="C10" s="15">
        <f>'Balance Sheet'!C10/'Balance Sheet'!C$12</f>
        <v>9.9537037037037035E-2</v>
      </c>
    </row>
    <row r="11" spans="1:3" x14ac:dyDescent="0.2">
      <c r="A11" s="8" t="s">
        <v>23</v>
      </c>
      <c r="B11" s="24">
        <f>'Balance Sheet'!B11/'Balance Sheet'!B$12</f>
        <v>0.21856069784346982</v>
      </c>
      <c r="C11" s="24">
        <f>'Balance Sheet'!C11/'Balance Sheet'!C$12</f>
        <v>0.23474945533769062</v>
      </c>
    </row>
    <row r="12" spans="1:3" ht="17" thickBot="1" x14ac:dyDescent="0.25">
      <c r="A12" s="27" t="s">
        <v>24</v>
      </c>
      <c r="B12" s="30">
        <f>'Balance Sheet'!B12/'Balance Sheet'!B$12</f>
        <v>1</v>
      </c>
      <c r="C12" s="30">
        <f>'Balance Sheet'!C12/'Balance Sheet'!C$12</f>
        <v>1</v>
      </c>
    </row>
    <row r="13" spans="1:3" ht="17" thickTop="1" x14ac:dyDescent="0.2">
      <c r="A13" s="28" t="s">
        <v>25</v>
      </c>
      <c r="B13" s="16"/>
      <c r="C13" s="16"/>
    </row>
    <row r="14" spans="1:3" x14ac:dyDescent="0.2">
      <c r="A14" s="21" t="s">
        <v>26</v>
      </c>
      <c r="B14" s="15">
        <f>'Balance Sheet'!B14/'Balance Sheet'!$B$23</f>
        <v>0.10613036103707293</v>
      </c>
      <c r="C14" s="15">
        <f>'Balance Sheet'!C14/'Balance Sheet'!$C$23</f>
        <v>9.9128540305010893E-2</v>
      </c>
    </row>
    <row r="15" spans="1:3" x14ac:dyDescent="0.2">
      <c r="A15" s="21" t="s">
        <v>27</v>
      </c>
      <c r="B15" s="15">
        <f>'Balance Sheet'!B15/'Balance Sheet'!$B$23</f>
        <v>0.13629755270172036</v>
      </c>
      <c r="C15" s="15">
        <f>'Balance Sheet'!C15/'Balance Sheet'!$C$23</f>
        <v>0.13616557734204793</v>
      </c>
    </row>
    <row r="16" spans="1:3" x14ac:dyDescent="0.2">
      <c r="A16" s="21" t="s">
        <v>28</v>
      </c>
      <c r="B16" s="15">
        <f>'Balance Sheet'!B16/'Balance Sheet'!$B$23</f>
        <v>8.4807366125514899E-2</v>
      </c>
      <c r="C16" s="15">
        <f>'Balance Sheet'!C16/'Balance Sheet'!$C$23</f>
        <v>9.2592592592592587E-2</v>
      </c>
    </row>
    <row r="17" spans="1:3" x14ac:dyDescent="0.2">
      <c r="A17" s="8" t="s">
        <v>29</v>
      </c>
      <c r="B17" s="24">
        <f>'Balance Sheet'!B17/'Balance Sheet'!$B$23</f>
        <v>0.32723527986430823</v>
      </c>
      <c r="C17" s="24">
        <f>'Balance Sheet'!C17/'Balance Sheet'!$C$23</f>
        <v>0.32788671023965144</v>
      </c>
    </row>
    <row r="18" spans="1:3" x14ac:dyDescent="0.2">
      <c r="A18" s="21" t="s">
        <v>30</v>
      </c>
      <c r="B18" s="15">
        <f>'Balance Sheet'!B18/'Balance Sheet'!$B$23</f>
        <v>0.25721589532347955</v>
      </c>
      <c r="C18" s="15">
        <f>'Balance Sheet'!C18/'Balance Sheet'!$C$23</f>
        <v>0.22020152505446622</v>
      </c>
    </row>
    <row r="19" spans="1:3" x14ac:dyDescent="0.2">
      <c r="A19" s="8" t="s">
        <v>31</v>
      </c>
      <c r="B19" s="24">
        <f>'Balance Sheet'!B19/'Balance Sheet'!$B$23</f>
        <v>0.58445117518778777</v>
      </c>
      <c r="C19" s="24">
        <f>'Balance Sheet'!C19/'Balance Sheet'!$C$23</f>
        <v>0.54808823529411765</v>
      </c>
    </row>
    <row r="20" spans="1:3" x14ac:dyDescent="0.2">
      <c r="A20" s="21" t="s">
        <v>32</v>
      </c>
      <c r="B20" s="15">
        <f>'Balance Sheet'!B20/'Balance Sheet'!$B$23</f>
        <v>0.2786527744124061</v>
      </c>
      <c r="C20" s="15">
        <f>'Balance Sheet'!C20/'Balance Sheet'!$C$23</f>
        <v>0.31318082788671026</v>
      </c>
    </row>
    <row r="21" spans="1:3" x14ac:dyDescent="0.2">
      <c r="A21" s="21" t="s">
        <v>33</v>
      </c>
      <c r="B21" s="15">
        <f>'Balance Sheet'!B21/'Balance Sheet'!$B$23</f>
        <v>0.13689605039980615</v>
      </c>
      <c r="C21" s="15">
        <f>'Balance Sheet'!C21/'Balance Sheet'!$B$23</f>
        <v>0.12343590986188514</v>
      </c>
    </row>
    <row r="22" spans="1:3" x14ac:dyDescent="0.2">
      <c r="A22" s="8" t="s">
        <v>34</v>
      </c>
      <c r="B22" s="24">
        <f>'Balance Sheet'!B22/'Balance Sheet'!$B$23</f>
        <v>0.41554882481221228</v>
      </c>
      <c r="C22" s="24">
        <f>'Balance Sheet'!C22/'Balance Sheet'!$C$23</f>
        <v>0.45191176470588235</v>
      </c>
    </row>
    <row r="23" spans="1:3" ht="17" thickBot="1" x14ac:dyDescent="0.25">
      <c r="A23" s="29" t="s">
        <v>35</v>
      </c>
      <c r="B23" s="30">
        <f>'Balance Sheet'!B23/'Balance Sheet'!$B$23</f>
        <v>1</v>
      </c>
      <c r="C23" s="30">
        <f>'Balance Sheet'!C23/'Balance Sheet'!$C$23</f>
        <v>1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7F02-2326-FB41-8288-E9406C4DCE8B}">
  <dimension ref="A1:C22"/>
  <sheetViews>
    <sheetView zoomScale="125" workbookViewId="0">
      <selection activeCell="C21" sqref="C21"/>
    </sheetView>
  </sheetViews>
  <sheetFormatPr baseColWidth="10" defaultRowHeight="16" outlineLevelRow="1" x14ac:dyDescent="0.2"/>
  <cols>
    <col min="1" max="1" width="43.83203125" customWidth="1"/>
    <col min="2" max="2" width="14.6640625" customWidth="1"/>
  </cols>
  <sheetData>
    <row r="1" spans="1:3" x14ac:dyDescent="0.2">
      <c r="A1" s="119" t="s">
        <v>60</v>
      </c>
      <c r="B1" s="120"/>
      <c r="C1" s="121"/>
    </row>
    <row r="2" spans="1:3" x14ac:dyDescent="0.2">
      <c r="A2" s="119" t="s">
        <v>43</v>
      </c>
      <c r="B2" s="120"/>
      <c r="C2" s="121"/>
    </row>
    <row r="3" spans="1:3" ht="17" thickBot="1" x14ac:dyDescent="0.25">
      <c r="A3" s="122" t="s">
        <v>65</v>
      </c>
      <c r="B3" s="123"/>
      <c r="C3" s="124"/>
    </row>
    <row r="4" spans="1:3" ht="17" thickTop="1" x14ac:dyDescent="0.2">
      <c r="A4" s="38" t="s">
        <v>44</v>
      </c>
      <c r="B4" s="39"/>
      <c r="C4" s="40"/>
    </row>
    <row r="5" spans="1:3" outlineLevel="1" x14ac:dyDescent="0.2">
      <c r="A5" s="22" t="s">
        <v>13</v>
      </c>
      <c r="B5" s="32">
        <f>'Income Statement'!B15</f>
        <v>55275</v>
      </c>
      <c r="C5" s="32"/>
    </row>
    <row r="6" spans="1:3" outlineLevel="1" x14ac:dyDescent="0.2">
      <c r="A6" s="21" t="s">
        <v>8</v>
      </c>
      <c r="B6" s="7">
        <f>'Income Statement'!B10</f>
        <v>20000</v>
      </c>
      <c r="C6" s="7"/>
    </row>
    <row r="7" spans="1:3" outlineLevel="1" x14ac:dyDescent="0.2">
      <c r="A7" s="21" t="s">
        <v>45</v>
      </c>
      <c r="B7" s="7">
        <f>'Balance Sheet'!C6-'Balance Sheet'!B6</f>
        <v>-50800</v>
      </c>
      <c r="C7" s="7"/>
    </row>
    <row r="8" spans="1:3" outlineLevel="1" x14ac:dyDescent="0.2">
      <c r="A8" s="21" t="s">
        <v>46</v>
      </c>
      <c r="B8" s="7">
        <f>'Balance Sheet'!C7-'Balance Sheet'!B7</f>
        <v>-120800</v>
      </c>
      <c r="C8" s="7"/>
    </row>
    <row r="9" spans="1:3" outlineLevel="1" x14ac:dyDescent="0.2">
      <c r="A9" s="21" t="s">
        <v>47</v>
      </c>
      <c r="B9" s="7">
        <f>'Balance Sheet'!B14-'Balance Sheet'!C14</f>
        <v>29600</v>
      </c>
      <c r="C9" s="7"/>
    </row>
    <row r="10" spans="1:3" outlineLevel="1" x14ac:dyDescent="0.2">
      <c r="A10" s="21" t="s">
        <v>48</v>
      </c>
      <c r="B10" s="7">
        <f>'Balance Sheet'!B16-'Balance Sheet'!C16</f>
        <v>4000</v>
      </c>
      <c r="C10" s="7"/>
    </row>
    <row r="11" spans="1:3" x14ac:dyDescent="0.2">
      <c r="A11" s="27" t="s">
        <v>49</v>
      </c>
      <c r="B11" s="42"/>
      <c r="C11" s="42">
        <f>SUM(B5:B10)</f>
        <v>-62725</v>
      </c>
    </row>
    <row r="12" spans="1:3" outlineLevel="1" x14ac:dyDescent="0.2">
      <c r="A12" s="43" t="s">
        <v>50</v>
      </c>
      <c r="B12" s="44"/>
      <c r="C12" s="45"/>
    </row>
    <row r="13" spans="1:3" outlineLevel="1" x14ac:dyDescent="0.2">
      <c r="A13" s="22" t="s">
        <v>51</v>
      </c>
      <c r="B13" s="32">
        <f>'Balance Sheet'!C9-'Balance Sheet'!B9</f>
        <v>-36000</v>
      </c>
      <c r="C13" s="32"/>
    </row>
    <row r="14" spans="1:3" x14ac:dyDescent="0.2">
      <c r="A14" s="27" t="s">
        <v>52</v>
      </c>
      <c r="B14" s="41"/>
      <c r="C14" s="42">
        <f>B13</f>
        <v>-36000</v>
      </c>
    </row>
    <row r="15" spans="1:3" outlineLevel="1" x14ac:dyDescent="0.2">
      <c r="A15" s="33" t="s">
        <v>53</v>
      </c>
      <c r="B15" s="34"/>
      <c r="C15" s="35"/>
    </row>
    <row r="16" spans="1:3" outlineLevel="1" x14ac:dyDescent="0.2">
      <c r="A16" s="22" t="s">
        <v>54</v>
      </c>
      <c r="B16" s="32">
        <f>'Balance Sheet'!B15-'Balance Sheet'!C15</f>
        <v>25000</v>
      </c>
      <c r="C16" s="32"/>
    </row>
    <row r="17" spans="1:3" outlineLevel="1" x14ac:dyDescent="0.2">
      <c r="A17" s="21" t="s">
        <v>55</v>
      </c>
      <c r="B17" s="7">
        <f>'Balance Sheet'!B18-'Balance Sheet'!C18</f>
        <v>101180</v>
      </c>
      <c r="C17" s="7"/>
    </row>
    <row r="18" spans="1:3" outlineLevel="1" x14ac:dyDescent="0.2">
      <c r="A18" s="21" t="s">
        <v>56</v>
      </c>
      <c r="B18" s="7">
        <f>'Balance Sheet'!B20-'Balance Sheet'!C20</f>
        <v>0</v>
      </c>
      <c r="C18" s="7"/>
    </row>
    <row r="19" spans="1:3" outlineLevel="1" x14ac:dyDescent="0.2">
      <c r="A19" s="21" t="s">
        <v>57</v>
      </c>
      <c r="B19" s="7">
        <f>-('Income Statement'!B15 - ('Balance Sheet'!B21-'Balance Sheet'!C21))</f>
        <v>-33055</v>
      </c>
      <c r="C19" s="7"/>
    </row>
    <row r="20" spans="1:3" x14ac:dyDescent="0.2">
      <c r="A20" s="8" t="s">
        <v>58</v>
      </c>
      <c r="B20" s="9"/>
      <c r="C20" s="9">
        <f>SUM(B16:B19)</f>
        <v>93125</v>
      </c>
    </row>
    <row r="21" spans="1:3" ht="17" thickBot="1" x14ac:dyDescent="0.25">
      <c r="A21" s="8" t="s">
        <v>59</v>
      </c>
      <c r="B21" s="9"/>
      <c r="C21" s="12"/>
    </row>
    <row r="22" spans="1:3" ht="17" thickTop="1" x14ac:dyDescent="0.2"/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86C6-3FEF-F247-9697-4AA810F71D12}">
  <dimension ref="A1:F22"/>
  <sheetViews>
    <sheetView zoomScale="125" workbookViewId="0">
      <selection activeCell="K8" sqref="K8"/>
    </sheetView>
  </sheetViews>
  <sheetFormatPr baseColWidth="10" defaultRowHeight="16" outlineLevelRow="1" x14ac:dyDescent="0.2"/>
  <cols>
    <col min="1" max="1" width="43.83203125" customWidth="1"/>
    <col min="2" max="2" width="14.6640625" customWidth="1"/>
    <col min="3" max="3" width="14.83203125" bestFit="1" customWidth="1"/>
  </cols>
  <sheetData>
    <row r="1" spans="1:6" x14ac:dyDescent="0.2">
      <c r="A1" s="119" t="s">
        <v>60</v>
      </c>
      <c r="B1" s="120"/>
      <c r="C1" s="121"/>
      <c r="E1" t="s">
        <v>64</v>
      </c>
      <c r="F1">
        <v>1</v>
      </c>
    </row>
    <row r="2" spans="1:6" x14ac:dyDescent="0.2">
      <c r="A2" s="119" t="s">
        <v>43</v>
      </c>
      <c r="B2" s="120"/>
      <c r="C2" s="121"/>
    </row>
    <row r="3" spans="1:6" ht="17" thickBot="1" x14ac:dyDescent="0.25">
      <c r="A3" s="122" t="s">
        <v>65</v>
      </c>
      <c r="B3" s="123"/>
      <c r="C3" s="124"/>
    </row>
    <row r="4" spans="1:6" ht="17" thickTop="1" x14ac:dyDescent="0.2">
      <c r="A4" s="38" t="s">
        <v>44</v>
      </c>
      <c r="B4" s="39" t="str">
        <f>"% of "&amp;CHOOSE($F$1,"Sales","Beginning Cash")</f>
        <v>% of Sales</v>
      </c>
      <c r="C4" s="40"/>
    </row>
    <row r="5" spans="1:6" outlineLevel="1" x14ac:dyDescent="0.2">
      <c r="A5" s="22" t="s">
        <v>13</v>
      </c>
      <c r="B5" s="54">
        <f>'Income Statement'!B15/CHOOSE($F$1,'Income Statement'!$B$5,'Balance Sheet'!$C$5)</f>
        <v>1.4357142857142857E-2</v>
      </c>
      <c r="C5" s="49"/>
    </row>
    <row r="6" spans="1:6" outlineLevel="1" x14ac:dyDescent="0.2">
      <c r="A6" s="21" t="s">
        <v>8</v>
      </c>
      <c r="B6" s="50">
        <f>'Income Statement'!B10/CHOOSE($F$1,'Income Statement'!$B$5,'Balance Sheet'!$C$5)</f>
        <v>5.1948051948051948E-3</v>
      </c>
      <c r="C6" s="50"/>
    </row>
    <row r="7" spans="1:6" outlineLevel="1" x14ac:dyDescent="0.2">
      <c r="A7" s="21" t="s">
        <v>45</v>
      </c>
      <c r="B7" s="50">
        <f>('Balance Sheet'!C6-'Balance Sheet'!B6)/CHOOSE($F$1,'Income Statement'!$B$5,'Balance Sheet'!$C$5)</f>
        <v>-1.3194805194805195E-2</v>
      </c>
      <c r="C7" s="50"/>
    </row>
    <row r="8" spans="1:6" outlineLevel="1" x14ac:dyDescent="0.2">
      <c r="A8" s="21" t="s">
        <v>46</v>
      </c>
      <c r="B8" s="50">
        <f>('Balance Sheet'!C7-'Balance Sheet'!B7)/CHOOSE($F$1,'Income Statement'!$B$5,'Balance Sheet'!$C$5)</f>
        <v>-3.1376623376623378E-2</v>
      </c>
      <c r="C8" s="50"/>
    </row>
    <row r="9" spans="1:6" outlineLevel="1" x14ac:dyDescent="0.2">
      <c r="A9" s="21" t="s">
        <v>47</v>
      </c>
      <c r="B9" s="50">
        <f>('Balance Sheet'!B14-'Balance Sheet'!C14)/CHOOSE($F$1,'Income Statement'!$B$5,'Balance Sheet'!$C$5)</f>
        <v>7.6883116883116887E-3</v>
      </c>
      <c r="C9" s="50"/>
    </row>
    <row r="10" spans="1:6" outlineLevel="1" x14ac:dyDescent="0.2">
      <c r="A10" s="21" t="s">
        <v>48</v>
      </c>
      <c r="B10" s="50">
        <f>('Balance Sheet'!B16-'Balance Sheet'!C16)/CHOOSE($F$1,'Income Statement'!$B$5,'Balance Sheet'!$C$5)</f>
        <v>1.038961038961039E-3</v>
      </c>
      <c r="C10" s="50"/>
    </row>
    <row r="11" spans="1:6" x14ac:dyDescent="0.2">
      <c r="A11" s="27" t="s">
        <v>49</v>
      </c>
      <c r="B11" s="51"/>
      <c r="C11" s="51">
        <f>SUM(B5:B10)</f>
        <v>-1.6292207792207795E-2</v>
      </c>
    </row>
    <row r="12" spans="1:6" outlineLevel="1" x14ac:dyDescent="0.2">
      <c r="A12" s="43" t="s">
        <v>50</v>
      </c>
      <c r="B12" s="44"/>
      <c r="C12" s="45"/>
    </row>
    <row r="13" spans="1:6" outlineLevel="1" x14ac:dyDescent="0.2">
      <c r="A13" s="22" t="s">
        <v>51</v>
      </c>
      <c r="B13" s="49">
        <f>('Balance Sheet'!C9-'Balance Sheet'!B9)/CHOOSE($F$1,'Income Statement'!$B$5,'Balance Sheet'!$C$5)</f>
        <v>-9.3506493506493506E-3</v>
      </c>
      <c r="C13" s="49"/>
    </row>
    <row r="14" spans="1:6" x14ac:dyDescent="0.2">
      <c r="A14" s="27" t="s">
        <v>52</v>
      </c>
      <c r="B14" s="52"/>
      <c r="C14" s="51">
        <f>B13</f>
        <v>-9.3506493506493506E-3</v>
      </c>
    </row>
    <row r="15" spans="1:6" outlineLevel="1" x14ac:dyDescent="0.2">
      <c r="A15" s="33" t="s">
        <v>53</v>
      </c>
      <c r="B15" s="34"/>
      <c r="C15" s="35"/>
    </row>
    <row r="16" spans="1:6" outlineLevel="1" x14ac:dyDescent="0.2">
      <c r="A16" s="22" t="s">
        <v>54</v>
      </c>
      <c r="B16" s="49">
        <f>('Balance Sheet'!B15-'Balance Sheet'!C15)/CHOOSE($F$1,'Income Statement'!$B$5,'Balance Sheet'!$C$5)</f>
        <v>6.4935064935064939E-3</v>
      </c>
      <c r="C16" s="49"/>
    </row>
    <row r="17" spans="1:3" outlineLevel="1" x14ac:dyDescent="0.2">
      <c r="A17" s="21" t="s">
        <v>55</v>
      </c>
      <c r="B17" s="50">
        <f>('Balance Sheet'!B18-'Balance Sheet'!C18)/CHOOSE($F$1,'Income Statement'!$B$5,'Balance Sheet'!$C$5)</f>
        <v>2.6280519480519481E-2</v>
      </c>
      <c r="C17" s="50"/>
    </row>
    <row r="18" spans="1:3" outlineLevel="1" x14ac:dyDescent="0.2">
      <c r="A18" s="21" t="s">
        <v>56</v>
      </c>
      <c r="B18" s="50">
        <f>('Balance Sheet'!B20-'Balance Sheet'!C20)/CHOOSE($F$1,'Income Statement'!$B$5,'Balance Sheet'!$C$5)</f>
        <v>0</v>
      </c>
      <c r="C18" s="50"/>
    </row>
    <row r="19" spans="1:3" outlineLevel="1" x14ac:dyDescent="0.2">
      <c r="A19" s="21" t="s">
        <v>57</v>
      </c>
      <c r="B19" s="50">
        <f>-('Income Statement'!B15 - ('Balance Sheet'!B21-'Balance Sheet'!C21))/ CHOOSE($F$1,'Income Statement'!$B$5,'Balance Sheet'!$C$5)</f>
        <v>-8.5857142857142851E-3</v>
      </c>
      <c r="C19" s="50"/>
    </row>
    <row r="20" spans="1:3" x14ac:dyDescent="0.2">
      <c r="A20" s="8" t="s">
        <v>58</v>
      </c>
      <c r="B20" s="53"/>
      <c r="C20" s="53">
        <f>SUM(B16:B19)</f>
        <v>2.4188311688311689E-2</v>
      </c>
    </row>
    <row r="21" spans="1:3" ht="17" thickBot="1" x14ac:dyDescent="0.25">
      <c r="A21" s="8" t="s">
        <v>59</v>
      </c>
      <c r="B21" s="53"/>
      <c r="C21" s="55">
        <f>SUM(C11:C20)</f>
        <v>-1.4545454545454584E-3</v>
      </c>
    </row>
    <row r="22" spans="1:3" ht="17" thickTop="1" x14ac:dyDescent="0.2"/>
  </sheetData>
  <mergeCells count="3">
    <mergeCell ref="A1:C1"/>
    <mergeCell ref="A2:C2"/>
    <mergeCell ref="A3:C3"/>
  </mergeCells>
  <dataValidations count="1">
    <dataValidation type="list" allowBlank="1" showInputMessage="1" showErrorMessage="1" error="Only 1 or 2 are allowed" prompt="Enter 1 for a Sales-based statement, or 2 for a beginning cash balance-based statement" sqref="F1" xr:uid="{6F886328-B7FB-9242-9D25-AE0CC23DE8FD}">
      <formula1>"1,2"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8003-4B3C-2A41-AE27-ADF50E6DA6E5}">
  <dimension ref="A1:E31"/>
  <sheetViews>
    <sheetView zoomScale="137" zoomScaleNormal="299" workbookViewId="0">
      <selection sqref="A1:E6"/>
    </sheetView>
  </sheetViews>
  <sheetFormatPr baseColWidth="10" defaultRowHeight="16" x14ac:dyDescent="0.2"/>
  <cols>
    <col min="1" max="1" width="30" customWidth="1"/>
    <col min="2" max="2" width="14.33203125" customWidth="1"/>
    <col min="3" max="3" width="13.6640625" bestFit="1" customWidth="1"/>
    <col min="4" max="4" width="13.6640625" customWidth="1"/>
    <col min="5" max="5" width="13.6640625" bestFit="1" customWidth="1"/>
    <col min="6" max="6" width="12.33203125" customWidth="1"/>
  </cols>
  <sheetData>
    <row r="1" spans="1:5" x14ac:dyDescent="0.2">
      <c r="A1" s="128" t="s">
        <v>60</v>
      </c>
      <c r="B1" s="128"/>
      <c r="C1" s="128"/>
      <c r="D1" s="128"/>
      <c r="E1" s="128"/>
    </row>
    <row r="2" spans="1:5" x14ac:dyDescent="0.2">
      <c r="A2" s="128" t="s">
        <v>103</v>
      </c>
      <c r="B2" s="128"/>
      <c r="C2" s="128"/>
      <c r="D2" s="128"/>
      <c r="E2" s="128"/>
    </row>
    <row r="3" spans="1:5" ht="17" thickBot="1" x14ac:dyDescent="0.25">
      <c r="A3" s="59" t="s">
        <v>67</v>
      </c>
      <c r="B3" s="59">
        <v>2024</v>
      </c>
      <c r="C3" s="59">
        <v>2023</v>
      </c>
      <c r="D3" s="78" t="s">
        <v>106</v>
      </c>
      <c r="E3" s="78" t="s">
        <v>107</v>
      </c>
    </row>
    <row r="4" spans="1:5" ht="17" thickBot="1" x14ac:dyDescent="0.25">
      <c r="A4" s="125" t="s">
        <v>68</v>
      </c>
      <c r="B4" s="126"/>
      <c r="C4" s="126"/>
      <c r="D4" s="126"/>
      <c r="E4" s="127"/>
    </row>
    <row r="5" spans="1:5" ht="17" thickBot="1" x14ac:dyDescent="0.25">
      <c r="A5" s="11" t="s">
        <v>69</v>
      </c>
      <c r="B5" s="73">
        <f>'Balance Sheet'!B8/'Balance Sheet'!B17</f>
        <v>2.3880044427989633</v>
      </c>
      <c r="C5" s="73">
        <f>'Balance Sheet'!C8/'Balance Sheet'!C17</f>
        <v>2.3338870431893688</v>
      </c>
      <c r="D5" s="73">
        <v>2.7</v>
      </c>
      <c r="E5" s="89" t="str">
        <f>IF(AND(B5/C5&gt;=1,B5/ D5&gt;=1),"Good",IF(OR(B5/D5&gt;=1,B5/C5&gt;=1),"Ok","Bad"))</f>
        <v>Ok</v>
      </c>
    </row>
    <row r="6" spans="1:5" ht="17" thickBot="1" x14ac:dyDescent="0.25">
      <c r="A6" s="61" t="s">
        <v>71</v>
      </c>
      <c r="B6" s="86">
        <f>('Balance Sheet'!B8-'Balance Sheet'!B7)/'Balance Sheet'!B17</f>
        <v>0.84042947056645689</v>
      </c>
      <c r="C6" s="86">
        <f>('Balance Sheet'!C8-'Balance Sheet'!C7)/'Balance Sheet'!C17</f>
        <v>0.84883720930232553</v>
      </c>
      <c r="D6" s="86">
        <v>1</v>
      </c>
      <c r="E6" s="89" t="str">
        <f>IF(AND(B6/C6&gt;=1,B6/ D6&gt;=1),"Good",IF(OR(B6/D6&gt;=1,B6/C6&gt;=1),"Ok","Bad"))</f>
        <v>Bad</v>
      </c>
    </row>
    <row r="7" spans="1:5" ht="17" thickBot="1" x14ac:dyDescent="0.25">
      <c r="A7" s="125" t="s">
        <v>86</v>
      </c>
      <c r="B7" s="126"/>
      <c r="C7" s="126"/>
      <c r="D7" s="126"/>
      <c r="E7" s="127"/>
    </row>
    <row r="8" spans="1:5" x14ac:dyDescent="0.2">
      <c r="A8" s="11" t="s">
        <v>72</v>
      </c>
      <c r="B8" s="87">
        <f>'Income Statement'!B6/'Balance Sheet'!B7</f>
        <v>3.8875598086124401</v>
      </c>
      <c r="C8" s="87">
        <f>'Income Statement'!C6/'Balance Sheet'!C7</f>
        <v>4.0044742729306488</v>
      </c>
      <c r="D8" s="87">
        <v>7</v>
      </c>
      <c r="E8" s="11" t="str">
        <f>IF(AND(B8/C8&gt;=1,B8/ D8&gt;=1),"Good",IF(OR(B8/D8&gt;=1,B8/C8&gt;=1),"Ok","Bad"))</f>
        <v>Bad</v>
      </c>
    </row>
    <row r="9" spans="1:5" x14ac:dyDescent="0.2">
      <c r="A9" s="6" t="s">
        <v>75</v>
      </c>
      <c r="B9" s="80">
        <f>'Income Statement'!B5/'Balance Sheet'!B6</f>
        <v>9.5771144278606961</v>
      </c>
      <c r="C9" s="80">
        <f>'Income Statement'!C5/'Balance Sheet'!C6</f>
        <v>9.7722095671981783</v>
      </c>
      <c r="D9" s="80">
        <v>10.7</v>
      </c>
      <c r="E9" s="6" t="str">
        <f t="shared" ref="E9:E17" si="0">IF(AND(B9/C9&gt;=1,B9/ D9&gt;=1),"Good",IF(OR(B9/D9&gt;=1,B9/C9&gt;=1),"Ok","Bad"))</f>
        <v>Bad</v>
      </c>
    </row>
    <row r="10" spans="1:5" x14ac:dyDescent="0.2">
      <c r="A10" s="6" t="s">
        <v>78</v>
      </c>
      <c r="B10" s="81">
        <f>'Balance Sheet'!B6/('Income Statement'!B5/360)</f>
        <v>37.589610389610385</v>
      </c>
      <c r="C10" s="81">
        <f>'Balance Sheet'!C6/('Income Statement'!C5/360)</f>
        <v>36.83916083916084</v>
      </c>
      <c r="D10" s="81">
        <v>33.64</v>
      </c>
      <c r="E10" s="6" t="str">
        <f t="shared" si="0"/>
        <v>Good</v>
      </c>
    </row>
    <row r="11" spans="1:5" x14ac:dyDescent="0.2">
      <c r="A11" s="6" t="s">
        <v>81</v>
      </c>
      <c r="B11" s="80">
        <f>'Income Statement'!B5/'Balance Sheet'!B11</f>
        <v>10.670731707317072</v>
      </c>
      <c r="C11" s="80">
        <f>'Income Statement'!C5/'Balance Sheet'!C11</f>
        <v>9.9535962877030162</v>
      </c>
      <c r="D11" s="80">
        <v>11.2</v>
      </c>
      <c r="E11" s="6" t="str">
        <f t="shared" si="0"/>
        <v>Ok</v>
      </c>
    </row>
    <row r="12" spans="1:5" ht="17" thickBot="1" x14ac:dyDescent="0.25">
      <c r="A12" s="59" t="s">
        <v>84</v>
      </c>
      <c r="B12" s="85">
        <f>'Income Statement'!B5/'Balance Sheet'!B12</f>
        <v>2.3322025684516596</v>
      </c>
      <c r="C12" s="85">
        <f>'Income Statement'!C5/'Balance Sheet'!C12</f>
        <v>2.3366013071895426</v>
      </c>
      <c r="D12" s="85">
        <v>2.6</v>
      </c>
      <c r="E12" s="59" t="str">
        <f t="shared" si="0"/>
        <v>Bad</v>
      </c>
    </row>
    <row r="13" spans="1:5" ht="17" thickBot="1" x14ac:dyDescent="0.25">
      <c r="A13" s="125" t="s">
        <v>87</v>
      </c>
      <c r="B13" s="126"/>
      <c r="C13" s="126"/>
      <c r="D13" s="126"/>
      <c r="E13" s="127"/>
    </row>
    <row r="14" spans="1:5" x14ac:dyDescent="0.2">
      <c r="A14" s="11" t="s">
        <v>88</v>
      </c>
      <c r="B14" s="46">
        <f>'Balance Sheet'!B19/'Balance Sheet'!B12</f>
        <v>0.58445117518778777</v>
      </c>
      <c r="C14" s="46">
        <f>'Balance Sheet'!C19/'Balance Sheet'!C12</f>
        <v>0.54808823529411765</v>
      </c>
      <c r="D14" s="49">
        <v>0.5</v>
      </c>
      <c r="E14" s="11" t="str">
        <f t="shared" si="0"/>
        <v>Good</v>
      </c>
    </row>
    <row r="15" spans="1:5" x14ac:dyDescent="0.2">
      <c r="A15" s="6" t="s">
        <v>89</v>
      </c>
      <c r="B15" s="15">
        <f>'Balance Sheet'!B18/'Balance Sheet'!B12</f>
        <v>0.25721589532347955</v>
      </c>
      <c r="C15" s="15">
        <f>'Balance Sheet'!C18/'Balance Sheet'!C12</f>
        <v>0.22020152505446622</v>
      </c>
      <c r="D15" s="50">
        <v>0.2</v>
      </c>
      <c r="E15" s="6" t="str">
        <f t="shared" si="0"/>
        <v>Good</v>
      </c>
    </row>
    <row r="16" spans="1:5" x14ac:dyDescent="0.2">
      <c r="A16" s="6" t="s">
        <v>91</v>
      </c>
      <c r="B16" s="15">
        <f>'Balance Sheet'!B18/('Balance Sheet'!B18+'Balance Sheet'!B22)</f>
        <v>0.38232667026832345</v>
      </c>
      <c r="C16" s="15">
        <f>'Balance Sheet'!C18/('Balance Sheet'!C18+'Balance Sheet'!C22)</f>
        <v>0.32762560777957861</v>
      </c>
      <c r="D16" s="50">
        <v>0.28570000000000001</v>
      </c>
      <c r="E16" s="6" t="str">
        <f t="shared" si="0"/>
        <v>Good</v>
      </c>
    </row>
    <row r="17" spans="1:5" x14ac:dyDescent="0.2">
      <c r="A17" s="6" t="s">
        <v>92</v>
      </c>
      <c r="B17" s="79">
        <f>'Balance Sheet'!B19/'Balance Sheet'!B22</f>
        <v>1.4064560896108971</v>
      </c>
      <c r="C17" s="79">
        <f>'Balance Sheet'!B19/'Balance Sheet'!B22</f>
        <v>1.4064560896108971</v>
      </c>
      <c r="D17" s="50">
        <v>1</v>
      </c>
      <c r="E17" s="6" t="str">
        <f t="shared" si="0"/>
        <v>Good</v>
      </c>
    </row>
    <row r="18" spans="1:5" ht="17" thickBot="1" x14ac:dyDescent="0.25">
      <c r="A18" s="59" t="s">
        <v>93</v>
      </c>
      <c r="B18" s="75">
        <f>'Balance Sheet'!B18/'Balance Sheet'!B22</f>
        <v>0.61897875764590637</v>
      </c>
      <c r="C18" s="75">
        <f>'Balance Sheet'!C18/'Balance Sheet'!C22</f>
        <v>0.48726663533041664</v>
      </c>
      <c r="D18" s="91">
        <v>0.4</v>
      </c>
      <c r="E18" s="59" t="str">
        <f>IF(AND(B18/C18&gt;=1,B18/ D18&gt;=1),"Good",IF(OR(B18/D18&gt;=1,B18/C18&gt;=1),"Ok","Bad"))</f>
        <v>Good</v>
      </c>
    </row>
    <row r="19" spans="1:5" ht="17" thickBot="1" x14ac:dyDescent="0.25">
      <c r="A19" s="129" t="s">
        <v>90</v>
      </c>
      <c r="B19" s="130"/>
      <c r="C19" s="130"/>
      <c r="D19" s="131"/>
      <c r="E19" s="132"/>
    </row>
    <row r="20" spans="1:5" x14ac:dyDescent="0.2">
      <c r="A20" s="11" t="s">
        <v>94</v>
      </c>
      <c r="B20" s="73">
        <f>'Income Statement'!B11/'Income Statement'!B12</f>
        <v>1.9697368421052632</v>
      </c>
      <c r="C20" s="73">
        <f>'Income Statement'!C11/'Income Statement'!C12</f>
        <v>3.3456000000000001</v>
      </c>
      <c r="D20" s="73">
        <v>2.5</v>
      </c>
      <c r="E20" s="11" t="str">
        <f>IF(AND(B20/C20&gt;=1,B20/ D20&gt;=1),"Good",IF(OR(B20/D20&gt;=1,B20/C20&gt;=1),"Ok","Bad"))</f>
        <v>Bad</v>
      </c>
    </row>
    <row r="21" spans="1:5" ht="17" thickBot="1" x14ac:dyDescent="0.25">
      <c r="A21" s="59" t="s">
        <v>95</v>
      </c>
      <c r="B21" s="88">
        <f>('Income Statement'!B11+'Income Statement'!B10)/'Income Statement'!B12</f>
        <v>2.232894736842105</v>
      </c>
      <c r="C21" s="88">
        <f>('Income Statement'!C11+'Income Statement'!C10)/'Income Statement'!C12</f>
        <v>3.6480000000000001</v>
      </c>
      <c r="D21" s="88">
        <v>2.8</v>
      </c>
      <c r="E21" s="59" t="str">
        <f>IF(AND(B21/C21&gt;=1,B21/ D21&gt;=1),"Good",IF(OR(B21/D21&gt;=1,B21/C21&gt;=1),"Ok","Bad"))</f>
        <v>Bad</v>
      </c>
    </row>
    <row r="22" spans="1:5" ht="17" thickBot="1" x14ac:dyDescent="0.25">
      <c r="A22" s="125" t="s">
        <v>96</v>
      </c>
      <c r="B22" s="126"/>
      <c r="C22" s="126"/>
      <c r="D22" s="126"/>
      <c r="E22" s="127"/>
    </row>
    <row r="23" spans="1:5" x14ac:dyDescent="0.2">
      <c r="A23" s="11" t="s">
        <v>97</v>
      </c>
      <c r="B23" s="46">
        <f>'Income Statement'!B7/'Income Statement'!B5</f>
        <v>0.15584415584415584</v>
      </c>
      <c r="C23" s="46">
        <f>'Income Statement'!C7/'Income Statement'!C5</f>
        <v>0.1655011655011655</v>
      </c>
      <c r="D23" s="46">
        <v>0.17499999999999999</v>
      </c>
      <c r="E23" s="11" t="str">
        <f>IF(AND(B23/C23&gt;=1,B23/ D23&gt;=1),"Good",IF(OR(B23/D23&gt;=1,B23/C23&gt;=1),"Ok","Bad"))</f>
        <v>Bad</v>
      </c>
    </row>
    <row r="24" spans="1:5" x14ac:dyDescent="0.2">
      <c r="A24" s="6" t="s">
        <v>98</v>
      </c>
      <c r="B24" s="15">
        <f>'Income Statement'!B11/'Income Statement'!B5</f>
        <v>3.8883116883116881E-2</v>
      </c>
      <c r="C24" s="15">
        <f>'Income Statement'!C11/'Income Statement'!C5</f>
        <v>6.0926573426573427E-2</v>
      </c>
      <c r="D24" s="15">
        <v>6.25E-2</v>
      </c>
      <c r="E24" s="6" t="str">
        <f t="shared" ref="E24:E28" si="1">IF(AND(B24/C24&gt;=1,B24/ D24&gt;=1),"Good",IF(OR(B24/D24&gt;=1,B24/C24&gt;=1),"Ok","Bad"))</f>
        <v>Bad</v>
      </c>
    </row>
    <row r="25" spans="1:5" x14ac:dyDescent="0.2">
      <c r="A25" s="6" t="s">
        <v>99</v>
      </c>
      <c r="B25" s="15">
        <f>'Income Statement'!B15/'Income Statement'!B5</f>
        <v>1.4357142857142857E-2</v>
      </c>
      <c r="C25" s="15">
        <f>'Income Statement'!C15/'Income Statement'!C5</f>
        <v>3.2036713286713286E-2</v>
      </c>
      <c r="D25" s="15">
        <v>3.5000000000000003E-2</v>
      </c>
      <c r="E25" s="6" t="str">
        <f t="shared" si="1"/>
        <v>Bad</v>
      </c>
    </row>
    <row r="26" spans="1:5" x14ac:dyDescent="0.2">
      <c r="A26" s="6" t="s">
        <v>100</v>
      </c>
      <c r="B26" s="15">
        <f>'Income Statement'!B15/'Balance Sheet'!B12</f>
        <v>3.3483765447055974E-2</v>
      </c>
      <c r="C26" s="15">
        <f>'Income Statement'!C15/'Balance Sheet'!C12</f>
        <v>7.4857026143790847E-2</v>
      </c>
      <c r="D26" s="15">
        <v>9.0999999999999998E-2</v>
      </c>
      <c r="E26" s="6" t="str">
        <f t="shared" si="1"/>
        <v>Bad</v>
      </c>
    </row>
    <row r="27" spans="1:5" x14ac:dyDescent="0.2">
      <c r="A27" s="6" t="s">
        <v>101</v>
      </c>
      <c r="B27" s="15">
        <f>'Income Statement'!B15/'Balance Sheet'!B22</f>
        <v>8.0577211263170787E-2</v>
      </c>
      <c r="C27" s="15">
        <f>'Income Statement'!C15/'Balance Sheet'!C22</f>
        <v>0.16564522544021404</v>
      </c>
      <c r="D27" s="15">
        <v>0.182</v>
      </c>
      <c r="E27" s="6" t="str">
        <f t="shared" si="1"/>
        <v>Bad</v>
      </c>
    </row>
    <row r="28" spans="1:5" ht="17" thickBot="1" x14ac:dyDescent="0.25">
      <c r="A28" s="59" t="s">
        <v>102</v>
      </c>
      <c r="B28" s="75">
        <f>'Income Statement'!B15/'Balance Sheet'!B22</f>
        <v>8.0577211263170787E-2</v>
      </c>
      <c r="C28" s="75">
        <f>'Income Statement'!C15/'Balance Sheet'!C22</f>
        <v>0.16564522544021404</v>
      </c>
      <c r="D28" s="15">
        <v>0.182</v>
      </c>
      <c r="E28" s="92" t="str">
        <f t="shared" si="1"/>
        <v>Bad</v>
      </c>
    </row>
    <row r="29" spans="1:5" ht="17" thickTop="1" x14ac:dyDescent="0.2">
      <c r="A29" s="74"/>
      <c r="B29" s="76"/>
      <c r="C29" s="76"/>
      <c r="D29" s="76"/>
      <c r="E29" s="46"/>
    </row>
    <row r="30" spans="1:5" x14ac:dyDescent="0.2">
      <c r="A30" s="6" t="s">
        <v>104</v>
      </c>
      <c r="B30" s="15">
        <f>(B25*B12)/(1-B14)</f>
        <v>8.0577211263170773E-2</v>
      </c>
      <c r="C30" s="15">
        <f>(C25*C12)/(1-C14)</f>
        <v>0.16564522544021404</v>
      </c>
      <c r="D30" s="15"/>
      <c r="E30" s="15"/>
    </row>
    <row r="31" spans="1:5" x14ac:dyDescent="0.2">
      <c r="A31" s="61" t="s">
        <v>105</v>
      </c>
      <c r="B31" s="77">
        <v>1105500</v>
      </c>
    </row>
  </sheetData>
  <mergeCells count="7">
    <mergeCell ref="A22:E22"/>
    <mergeCell ref="A1:E1"/>
    <mergeCell ref="A2:E2"/>
    <mergeCell ref="A4:E4"/>
    <mergeCell ref="A7:E7"/>
    <mergeCell ref="A13:E13"/>
    <mergeCell ref="A19:E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6DD1-7F83-EC46-A40F-7A2ED1D076EF}">
  <dimension ref="A1:C9"/>
  <sheetViews>
    <sheetView tabSelected="1" zoomScale="216" workbookViewId="0">
      <selection activeCell="A10" sqref="A10"/>
    </sheetView>
  </sheetViews>
  <sheetFormatPr baseColWidth="10" defaultRowHeight="16" x14ac:dyDescent="0.2"/>
  <cols>
    <col min="1" max="1" width="20.6640625" customWidth="1"/>
    <col min="2" max="3" width="14" bestFit="1" customWidth="1"/>
  </cols>
  <sheetData>
    <row r="1" spans="1:3" x14ac:dyDescent="0.2">
      <c r="A1" s="128" t="s">
        <v>60</v>
      </c>
      <c r="B1" s="128"/>
      <c r="C1" s="128"/>
    </row>
    <row r="2" spans="1:3" ht="17" thickBot="1" x14ac:dyDescent="0.25">
      <c r="A2" s="128" t="s">
        <v>108</v>
      </c>
      <c r="B2" s="128"/>
      <c r="C2" s="128"/>
    </row>
    <row r="3" spans="1:3" ht="17" thickBot="1" x14ac:dyDescent="0.25">
      <c r="A3" s="82"/>
      <c r="B3" s="83">
        <v>2020</v>
      </c>
      <c r="C3" s="84">
        <v>2019</v>
      </c>
    </row>
    <row r="4" spans="1:3" x14ac:dyDescent="0.2">
      <c r="A4" s="11" t="s">
        <v>14</v>
      </c>
      <c r="B4" s="90">
        <f>'Income Statement'!$B18</f>
        <v>0.25</v>
      </c>
      <c r="C4" s="90">
        <f>'Income Statement'!$B18</f>
        <v>0.25</v>
      </c>
    </row>
    <row r="5" spans="1:3" x14ac:dyDescent="0.2">
      <c r="A5" s="6" t="s">
        <v>109</v>
      </c>
      <c r="B5" s="94">
        <f>'Income Statement'!B11*(1-B4)</f>
        <v>112275</v>
      </c>
      <c r="C5" s="94">
        <f>'Income Statement'!C11*(1-C4)</f>
        <v>156825</v>
      </c>
    </row>
    <row r="6" spans="1:3" x14ac:dyDescent="0.2">
      <c r="A6" s="6" t="s">
        <v>110</v>
      </c>
      <c r="B6" s="94">
        <f>'Balance Sheet'!B8+'Balance Sheet'!B11-('Balance Sheet'!B17-'Balance Sheet'!B15)</f>
        <v>1335600</v>
      </c>
      <c r="C6" s="94">
        <f>'Balance Sheet'!C8+'Balance Sheet'!C11-('Balance Sheet'!C17-'Balance Sheet'!C15)</f>
        <v>1187200</v>
      </c>
    </row>
    <row r="7" spans="1:3" x14ac:dyDescent="0.2">
      <c r="A7" s="6" t="s">
        <v>112</v>
      </c>
      <c r="B7" s="93">
        <v>0.13</v>
      </c>
      <c r="C7" s="93">
        <v>0.13</v>
      </c>
    </row>
    <row r="8" spans="1:3" x14ac:dyDescent="0.2">
      <c r="A8" s="6" t="s">
        <v>113</v>
      </c>
      <c r="B8" s="95">
        <f>B6*B7</f>
        <v>173628</v>
      </c>
      <c r="C8" s="95">
        <f>C6*C7</f>
        <v>154336</v>
      </c>
    </row>
    <row r="9" spans="1:3" x14ac:dyDescent="0.2">
      <c r="A9" s="6" t="s">
        <v>111</v>
      </c>
      <c r="B9" s="95">
        <f>B5-B8</f>
        <v>-61353</v>
      </c>
      <c r="C9" s="95">
        <f>C5-C8</f>
        <v>2489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E6BD-AC1B-4547-9BD6-87A6F67EFA17}">
  <dimension ref="A1:C9"/>
  <sheetViews>
    <sheetView topLeftCell="L1" zoomScale="200" workbookViewId="0">
      <selection activeCell="A4" sqref="A4:C4"/>
    </sheetView>
  </sheetViews>
  <sheetFormatPr baseColWidth="10" defaultRowHeight="16" x14ac:dyDescent="0.2"/>
  <cols>
    <col min="1" max="1" width="23.83203125" customWidth="1"/>
  </cols>
  <sheetData>
    <row r="1" spans="1:3" x14ac:dyDescent="0.2">
      <c r="A1" s="128" t="s">
        <v>2</v>
      </c>
      <c r="B1" s="128"/>
      <c r="C1" s="128"/>
    </row>
    <row r="2" spans="1:3" x14ac:dyDescent="0.2">
      <c r="A2" s="128" t="s">
        <v>66</v>
      </c>
      <c r="B2" s="128"/>
      <c r="C2" s="128"/>
    </row>
    <row r="3" spans="1:3" ht="17" thickBot="1" x14ac:dyDescent="0.25">
      <c r="A3" s="59" t="s">
        <v>67</v>
      </c>
      <c r="B3" s="59">
        <v>2020</v>
      </c>
      <c r="C3" s="59">
        <v>2019</v>
      </c>
    </row>
    <row r="4" spans="1:3" ht="18" thickTop="1" thickBot="1" x14ac:dyDescent="0.25">
      <c r="A4" s="133" t="s">
        <v>68</v>
      </c>
      <c r="B4" s="134"/>
      <c r="C4" s="135"/>
    </row>
    <row r="5" spans="1:3" ht="17" thickTop="1" x14ac:dyDescent="0.2">
      <c r="A5" t="s">
        <v>72</v>
      </c>
      <c r="B5" t="s">
        <v>73</v>
      </c>
      <c r="C5" t="s">
        <v>74</v>
      </c>
    </row>
    <row r="6" spans="1:3" x14ac:dyDescent="0.2">
      <c r="A6" t="s">
        <v>75</v>
      </c>
      <c r="B6" t="s">
        <v>76</v>
      </c>
      <c r="C6" t="s">
        <v>77</v>
      </c>
    </row>
    <row r="7" spans="1:3" x14ac:dyDescent="0.2">
      <c r="A7" t="s">
        <v>78</v>
      </c>
      <c r="B7" t="s">
        <v>79</v>
      </c>
      <c r="C7" t="s">
        <v>80</v>
      </c>
    </row>
    <row r="8" spans="1:3" x14ac:dyDescent="0.2">
      <c r="A8" t="s">
        <v>81</v>
      </c>
      <c r="B8" t="s">
        <v>82</v>
      </c>
      <c r="C8" t="s">
        <v>83</v>
      </c>
    </row>
    <row r="9" spans="1:3" x14ac:dyDescent="0.2">
      <c r="A9" t="s">
        <v>84</v>
      </c>
      <c r="B9" t="s">
        <v>70</v>
      </c>
      <c r="C9" t="s">
        <v>85</v>
      </c>
    </row>
  </sheetData>
  <mergeCells count="3">
    <mergeCell ref="A1:C1"/>
    <mergeCell ref="A2:C2"/>
    <mergeCell ref="A4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DE2C-F165-AC4E-BE15-F58D4F21826E}">
  <dimension ref="A1:C21"/>
  <sheetViews>
    <sheetView zoomScale="150" workbookViewId="0">
      <selection activeCell="B7" sqref="B7"/>
    </sheetView>
  </sheetViews>
  <sheetFormatPr baseColWidth="10" defaultRowHeight="16" x14ac:dyDescent="0.2"/>
  <cols>
    <col min="1" max="1" width="32.5" customWidth="1"/>
  </cols>
  <sheetData>
    <row r="1" spans="1:3" x14ac:dyDescent="0.2">
      <c r="A1" s="117" t="s">
        <v>2</v>
      </c>
      <c r="B1" s="117"/>
      <c r="C1" s="117"/>
    </row>
    <row r="2" spans="1:3" x14ac:dyDescent="0.2">
      <c r="A2" s="117" t="s">
        <v>62</v>
      </c>
      <c r="B2" s="117"/>
      <c r="C2" s="117"/>
    </row>
    <row r="3" spans="1:3" x14ac:dyDescent="0.2">
      <c r="A3" s="118" t="s">
        <v>63</v>
      </c>
      <c r="B3" s="118"/>
      <c r="C3" s="118"/>
    </row>
    <row r="4" spans="1:3" x14ac:dyDescent="0.2">
      <c r="A4" s="33" t="s">
        <v>44</v>
      </c>
      <c r="B4" s="48" t="s">
        <v>61</v>
      </c>
      <c r="C4" s="37"/>
    </row>
    <row r="5" spans="1:3" x14ac:dyDescent="0.2">
      <c r="A5" s="11" t="s">
        <v>13</v>
      </c>
      <c r="B5" s="46">
        <f>'Income Statement'!B15/'Income Statement'!B$5</f>
        <v>1.4357142857142857E-2</v>
      </c>
      <c r="C5" s="11"/>
    </row>
    <row r="6" spans="1:3" x14ac:dyDescent="0.2">
      <c r="A6" s="6" t="s">
        <v>8</v>
      </c>
      <c r="B6" s="46">
        <f>'Income Statement'!B10/'Income Statement'!B$5</f>
        <v>5.1948051948051948E-3</v>
      </c>
      <c r="C6" s="6"/>
    </row>
    <row r="7" spans="1:3" x14ac:dyDescent="0.2">
      <c r="A7" s="6" t="s">
        <v>45</v>
      </c>
      <c r="B7" s="46">
        <f>'Income Statement'!B17/'Income Statement'!B$5</f>
        <v>0</v>
      </c>
      <c r="C7" s="6"/>
    </row>
    <row r="8" spans="1:3" x14ac:dyDescent="0.2">
      <c r="A8" s="6" t="s">
        <v>46</v>
      </c>
      <c r="B8" s="46">
        <f>'Income Statement'!B18/'Income Statement'!B$5</f>
        <v>6.4935064935064935E-8</v>
      </c>
      <c r="C8" s="6"/>
    </row>
    <row r="9" spans="1:3" x14ac:dyDescent="0.2">
      <c r="A9" s="6" t="s">
        <v>47</v>
      </c>
      <c r="B9" s="46">
        <f>'Income Statement'!B19/'Income Statement'!B$5</f>
        <v>0</v>
      </c>
      <c r="C9" s="6"/>
    </row>
    <row r="10" spans="1:3" x14ac:dyDescent="0.2">
      <c r="A10" s="6" t="s">
        <v>48</v>
      </c>
      <c r="B10" s="46">
        <f>'Income Statement'!B20/'Income Statement'!B$5</f>
        <v>0</v>
      </c>
      <c r="C10" s="6"/>
    </row>
    <row r="11" spans="1:3" x14ac:dyDescent="0.2">
      <c r="A11" s="31" t="s">
        <v>49</v>
      </c>
      <c r="B11" s="47"/>
      <c r="C11" s="47">
        <v>-1.6299999999999999E-2</v>
      </c>
    </row>
    <row r="12" spans="1:3" x14ac:dyDescent="0.2">
      <c r="A12" s="33" t="s">
        <v>50</v>
      </c>
      <c r="B12" s="36"/>
      <c r="C12" s="37"/>
    </row>
    <row r="13" spans="1:3" x14ac:dyDescent="0.2">
      <c r="A13" s="11" t="s">
        <v>51</v>
      </c>
      <c r="B13" s="46">
        <v>-9.4000000000000004E-3</v>
      </c>
      <c r="C13" s="11"/>
    </row>
    <row r="14" spans="1:3" x14ac:dyDescent="0.2">
      <c r="A14" s="31" t="s">
        <v>52</v>
      </c>
      <c r="B14" s="47"/>
      <c r="C14" s="47">
        <v>-9.4000000000000004E-3</v>
      </c>
    </row>
    <row r="15" spans="1:3" x14ac:dyDescent="0.2">
      <c r="A15" s="33" t="s">
        <v>53</v>
      </c>
      <c r="B15" s="36"/>
      <c r="C15" s="37"/>
    </row>
    <row r="16" spans="1:3" x14ac:dyDescent="0.2">
      <c r="A16" s="11" t="s">
        <v>54</v>
      </c>
      <c r="B16" s="46">
        <v>6.4999999999999997E-3</v>
      </c>
      <c r="C16" s="11"/>
    </row>
    <row r="17" spans="1:3" x14ac:dyDescent="0.2">
      <c r="A17" s="6" t="s">
        <v>55</v>
      </c>
      <c r="B17" s="15">
        <v>2.63E-2</v>
      </c>
      <c r="C17" s="6"/>
    </row>
    <row r="18" spans="1:3" x14ac:dyDescent="0.2">
      <c r="A18" s="6" t="s">
        <v>56</v>
      </c>
      <c r="B18" s="15">
        <v>0</v>
      </c>
      <c r="C18" s="6"/>
    </row>
    <row r="19" spans="1:3" x14ac:dyDescent="0.2">
      <c r="A19" s="6" t="s">
        <v>57</v>
      </c>
      <c r="B19" s="15">
        <v>-8.6E-3</v>
      </c>
      <c r="C19" s="6"/>
    </row>
    <row r="20" spans="1:3" x14ac:dyDescent="0.2">
      <c r="A20" s="5" t="s">
        <v>58</v>
      </c>
      <c r="B20" s="23"/>
      <c r="C20" s="23">
        <v>2.4199999999999999E-2</v>
      </c>
    </row>
    <row r="21" spans="1:3" x14ac:dyDescent="0.2">
      <c r="A21" s="5" t="s">
        <v>59</v>
      </c>
      <c r="B21" s="23"/>
      <c r="C21" s="23">
        <v>-1.5E-3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Income Statement</vt:lpstr>
      <vt:lpstr>Balance Sheet</vt:lpstr>
      <vt:lpstr>Common size IS</vt:lpstr>
      <vt:lpstr>Common size BS</vt:lpstr>
      <vt:lpstr>Statement of Cash Flows</vt:lpstr>
      <vt:lpstr>Common-size Statement Cash Flow</vt:lpstr>
      <vt:lpstr>Ratios</vt:lpstr>
      <vt:lpstr>Economic Profit</vt:lpstr>
      <vt:lpstr>Sheet1</vt:lpstr>
      <vt:lpstr>Common-size statement of 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carruthers</dc:creator>
  <cp:lastModifiedBy>Nikolas Carruthers</cp:lastModifiedBy>
  <dcterms:created xsi:type="dcterms:W3CDTF">2025-09-10T02:07:36Z</dcterms:created>
  <dcterms:modified xsi:type="dcterms:W3CDTF">2026-05-18T21:48:54Z</dcterms:modified>
</cp:coreProperties>
</file>