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olascarruthers/Desktop/Portfolio creation/Microsoft/Excel/"/>
    </mc:Choice>
  </mc:AlternateContent>
  <xr:revisionPtr revIDLastSave="0" documentId="8_{120927D0-337D-1840-AE83-F48D276D8CDB}" xr6:coauthVersionLast="47" xr6:coauthVersionMax="47" xr10:uidLastSave="{00000000-0000-0000-0000-000000000000}"/>
  <bookViews>
    <workbookView xWindow="31020" yWindow="1520" windowWidth="29820" windowHeight="17440" xr2:uid="{AFDDDA00-05A0-9D40-8290-78016088366F}"/>
  </bookViews>
  <sheets>
    <sheet name="Security Market Line" sheetId="1" r:id="rId1"/>
    <sheet name="Infinite Holding Period" sheetId="2" r:id="rId2"/>
    <sheet name="Multi Stage Model" sheetId="4" r:id="rId3"/>
    <sheet name="Earnings Model" sheetId="5" r:id="rId4"/>
    <sheet name="Free Cash Flow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5" i="6" l="1"/>
  <c r="B14" i="6"/>
  <c r="B13" i="6"/>
  <c r="B17" i="6"/>
  <c r="B18" i="6" s="1"/>
  <c r="B19" i="6" s="1"/>
  <c r="B9" i="5"/>
  <c r="B12" i="5" s="1"/>
  <c r="B13" i="5" s="1"/>
  <c r="F2" i="5" s="1"/>
  <c r="B11" i="5"/>
  <c r="B8" i="5"/>
  <c r="B7" i="5"/>
  <c r="B8" i="4"/>
  <c r="E2" i="5" l="1"/>
  <c r="E6" i="2" l="1"/>
  <c r="E7" i="2"/>
  <c r="C4" i="2"/>
  <c r="C5" i="2"/>
  <c r="C6" i="2"/>
  <c r="C7" i="2"/>
  <c r="C3" i="2"/>
  <c r="B7" i="2"/>
  <c r="E4" i="1"/>
  <c r="C4" i="1"/>
  <c r="B8" i="2" l="1"/>
  <c r="C8" i="2" l="1"/>
  <c r="B9" i="2"/>
  <c r="C9" i="2" l="1"/>
  <c r="B10" i="2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C82" i="2" l="1"/>
  <c r="C75" i="2"/>
  <c r="C111" i="2"/>
  <c r="C99" i="2"/>
  <c r="C46" i="2"/>
  <c r="C59" i="2"/>
  <c r="C96" i="2"/>
  <c r="C14" i="2"/>
  <c r="C57" i="2"/>
  <c r="C69" i="2"/>
  <c r="C120" i="2"/>
  <c r="C58" i="2"/>
  <c r="C12" i="2"/>
  <c r="C34" i="2"/>
  <c r="C51" i="2"/>
  <c r="C97" i="2"/>
  <c r="C91" i="2"/>
  <c r="C47" i="2"/>
  <c r="C103" i="2"/>
  <c r="C115" i="2"/>
  <c r="C25" i="2"/>
  <c r="C109" i="2"/>
  <c r="C113" i="2"/>
  <c r="C118" i="2"/>
  <c r="C43" i="2"/>
  <c r="C114" i="2"/>
  <c r="C104" i="2"/>
  <c r="C110" i="2"/>
  <c r="C65" i="2"/>
  <c r="C15" i="2"/>
  <c r="C116" i="2"/>
  <c r="C83" i="2"/>
  <c r="C33" i="2"/>
  <c r="C27" i="2"/>
  <c r="C93" i="2"/>
  <c r="C70" i="2"/>
  <c r="C61" i="2"/>
  <c r="C112" i="2"/>
  <c r="C62" i="2"/>
  <c r="C121" i="2"/>
  <c r="C88" i="2"/>
  <c r="C79" i="2"/>
  <c r="C63" i="2"/>
  <c r="C39" i="2"/>
  <c r="C28" i="2"/>
  <c r="C84" i="2"/>
  <c r="C73" i="2"/>
  <c r="C85" i="2"/>
  <c r="C53" i="2"/>
  <c r="C94" i="2"/>
  <c r="C10" i="2"/>
  <c r="C19" i="2"/>
  <c r="C13" i="2"/>
  <c r="C56" i="2"/>
  <c r="C98" i="2"/>
  <c r="C26" i="2"/>
  <c r="C90" i="2"/>
  <c r="C76" i="2"/>
  <c r="C30" i="2"/>
  <c r="C23" i="2"/>
  <c r="C77" i="2"/>
  <c r="C11" i="2"/>
  <c r="C60" i="2"/>
  <c r="C24" i="2"/>
  <c r="C105" i="2"/>
  <c r="C29" i="2"/>
  <c r="C45" i="2"/>
  <c r="C95" i="2"/>
  <c r="C117" i="2"/>
  <c r="C74" i="2"/>
  <c r="C16" i="2"/>
  <c r="C41" i="2"/>
  <c r="C54" i="2"/>
  <c r="C38" i="2"/>
  <c r="C32" i="2"/>
  <c r="C21" i="2"/>
  <c r="C67" i="2"/>
  <c r="C44" i="2"/>
  <c r="C107" i="2"/>
  <c r="C17" i="2"/>
  <c r="C81" i="2"/>
  <c r="C101" i="2"/>
  <c r="C86" i="2"/>
  <c r="C48" i="2"/>
  <c r="C52" i="2"/>
  <c r="C92" i="2"/>
  <c r="C42" i="2"/>
  <c r="C49" i="2"/>
  <c r="C87" i="2"/>
  <c r="C22" i="2"/>
  <c r="C31" i="2"/>
  <c r="C108" i="2"/>
  <c r="C40" i="2"/>
  <c r="C71" i="2"/>
  <c r="C78" i="2"/>
  <c r="C18" i="2"/>
  <c r="C55" i="2"/>
  <c r="C50" i="2"/>
  <c r="C20" i="2"/>
  <c r="C119" i="2"/>
  <c r="C68" i="2"/>
  <c r="C37" i="2"/>
  <c r="C122" i="2"/>
  <c r="C64" i="2"/>
  <c r="C102" i="2"/>
  <c r="C72" i="2"/>
  <c r="C35" i="2"/>
  <c r="C89" i="2"/>
  <c r="C106" i="2"/>
  <c r="C36" i="2"/>
  <c r="C66" i="2"/>
  <c r="C100" i="2"/>
  <c r="C80" i="2"/>
</calcChain>
</file>

<file path=xl/sharedStrings.xml><?xml version="1.0" encoding="utf-8"?>
<sst xmlns="http://schemas.openxmlformats.org/spreadsheetml/2006/main" count="49" uniqueCount="46">
  <si>
    <t>The Security Market Line</t>
  </si>
  <si>
    <t>Beta</t>
  </si>
  <si>
    <t>Expected Return</t>
  </si>
  <si>
    <t>Risk-free</t>
  </si>
  <si>
    <t>X</t>
  </si>
  <si>
    <t>Market</t>
  </si>
  <si>
    <t>Y</t>
  </si>
  <si>
    <t>Infinite Holding Period Assumption</t>
  </si>
  <si>
    <t>Period</t>
  </si>
  <si>
    <t>Dividends</t>
  </si>
  <si>
    <t>Present Value</t>
  </si>
  <si>
    <t>Growth Rate</t>
  </si>
  <si>
    <t>Req. Return</t>
  </si>
  <si>
    <t>Oviedo Paper Valuation</t>
  </si>
  <si>
    <t>Aurora Foods Valuation</t>
  </si>
  <si>
    <t>Earnings per Share</t>
  </si>
  <si>
    <t>Dividend</t>
  </si>
  <si>
    <t>ROE</t>
  </si>
  <si>
    <t>Required Return</t>
  </si>
  <si>
    <t>Retained Earnings</t>
  </si>
  <si>
    <t>Retention Ratio</t>
  </si>
  <si>
    <t>Value without Growth</t>
  </si>
  <si>
    <t>Value of Growth Opportunities</t>
  </si>
  <si>
    <t>Value of Stock</t>
  </si>
  <si>
    <t>Front Range Mountaineering Supplies</t>
  </si>
  <si>
    <t>Free Cash Flow Valuation Model</t>
  </si>
  <si>
    <t>EBIT</t>
  </si>
  <si>
    <t>Depreciation</t>
  </si>
  <si>
    <t>Tax Rate</t>
  </si>
  <si>
    <t>Change in Op Cap</t>
  </si>
  <si>
    <t>Non-Operating Assets</t>
  </si>
  <si>
    <t>Market Value of Debt</t>
  </si>
  <si>
    <t>WACC</t>
  </si>
  <si>
    <t>Growth in FCF</t>
  </si>
  <si>
    <t>Shares Outstanding</t>
  </si>
  <si>
    <t>NOPAT</t>
  </si>
  <si>
    <t>Operating Cash Flow</t>
  </si>
  <si>
    <t>Free Cash Flow</t>
  </si>
  <si>
    <t>Value of Firm</t>
  </si>
  <si>
    <t>Value of Equity</t>
  </si>
  <si>
    <t>Per Share Value</t>
  </si>
  <si>
    <t>Dividend 0</t>
  </si>
  <si>
    <t>Growth Rate 1</t>
  </si>
  <si>
    <t>Growth Rate 2</t>
  </si>
  <si>
    <t>Period 1 Length</t>
  </si>
  <si>
    <t>Two-Stage Value of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</si>
</sst>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Growth Rate&quot;"/>
    <numFmt numFmtId="165" formatCode="&quot;Value of Stock&quot;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10" fontId="0" fillId="0" borderId="0" xfId="3" applyNumberFormat="1" applyFont="1"/>
    <xf numFmtId="43" fontId="0" fillId="0" borderId="0" xfId="1" applyFont="1"/>
    <xf numFmtId="9" fontId="0" fillId="0" borderId="0" xfId="0" applyNumberFormat="1"/>
    <xf numFmtId="44" fontId="0" fillId="0" borderId="0" xfId="2" applyFont="1"/>
    <xf numFmtId="8" fontId="0" fillId="0" borderId="0" xfId="0" applyNumberFormat="1"/>
    <xf numFmtId="44" fontId="0" fillId="0" borderId="0" xfId="0" applyNumberFormat="1"/>
    <xf numFmtId="0" fontId="0" fillId="0" borderId="1" xfId="0" applyBorder="1"/>
    <xf numFmtId="0" fontId="0" fillId="0" borderId="3" xfId="0" applyBorder="1"/>
    <xf numFmtId="9" fontId="0" fillId="0" borderId="1" xfId="3" applyFont="1" applyBorder="1"/>
    <xf numFmtId="10" fontId="0" fillId="0" borderId="1" xfId="3" applyNumberFormat="1" applyFont="1" applyBorder="1"/>
    <xf numFmtId="2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0" fontId="0" fillId="0" borderId="1" xfId="0" applyNumberFormat="1" applyBorder="1"/>
    <xf numFmtId="8" fontId="0" fillId="0" borderId="1" xfId="0" applyNumberFormat="1" applyBorder="1"/>
    <xf numFmtId="3" fontId="0" fillId="0" borderId="1" xfId="0" applyNumberFormat="1" applyBorder="1"/>
    <xf numFmtId="9" fontId="0" fillId="0" borderId="1" xfId="0" applyNumberFormat="1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Security Market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'Security Market Line'!$B$3:$E$3</c:f>
              <c:numCache>
                <c:formatCode>_(* #,##0.00_);_(* \(#,##0.00\);_(* "-"??_);_(@_)</c:formatCode>
                <c:ptCount val="4"/>
                <c:pt idx="0" formatCode="General">
                  <c:v>0</c:v>
                </c:pt>
                <c:pt idx="1">
                  <c:v>0.5</c:v>
                </c:pt>
                <c:pt idx="2" formatCode="General">
                  <c:v>1</c:v>
                </c:pt>
                <c:pt idx="3">
                  <c:v>1.5</c:v>
                </c:pt>
              </c:numCache>
            </c:numRef>
          </c:xVal>
          <c:yVal>
            <c:numRef>
              <c:f>'Security Market Line'!$B$4:$E$4</c:f>
              <c:numCache>
                <c:formatCode>0.00%</c:formatCode>
                <c:ptCount val="4"/>
                <c:pt idx="0">
                  <c:v>0.05</c:v>
                </c:pt>
                <c:pt idx="1">
                  <c:v>0.08</c:v>
                </c:pt>
                <c:pt idx="2">
                  <c:v>0.11</c:v>
                </c:pt>
                <c:pt idx="3">
                  <c:v>0.14000000000000001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DF-FA45-9D9D-6FCD08E7A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6220591"/>
        <c:axId val="1455148767"/>
      </c:scatterChart>
      <c:valAx>
        <c:axId val="143622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148767"/>
        <c:crosses val="autoZero"/>
        <c:crossBetween val="midCat"/>
      </c:valAx>
      <c:valAx>
        <c:axId val="145514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220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Value of ABC Common Stock</a:t>
            </a:r>
          </a:p>
          <a:p>
            <a:pPr>
              <a:defRPr/>
            </a:pPr>
            <a:r>
              <a:rPr lang="en-US"/>
              <a:t>as</a:t>
            </a:r>
            <a:r>
              <a:rPr lang="en-US" baseline="0"/>
              <a:t> More Dividends are Included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'Infinite Holding Period'!$A$3:$A$122</c:f>
              <c:numCache>
                <c:formatCode>General</c:formatCod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numCache>
            </c:numRef>
          </c:xVal>
          <c:yVal>
            <c:numRef>
              <c:f>'Infinite Holding Period'!$C$122</c:f>
              <c:numCache>
                <c:formatCode>"$"#,##0.00_);[Red]\("$"#,##0.00\)</c:formatCode>
                <c:ptCount val="1"/>
                <c:pt idx="0">
                  <c:v>12.325755351844949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88-104D-AE4E-1137F093EFE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'Infinite Holding Period'!$A$3:$A$122</c:f>
              <c:numCache>
                <c:formatCode>General</c:formatCod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numCache>
            </c:numRef>
          </c:xVal>
          <c:yVal>
            <c:numRef>
              <c:f>'Infinite Holding Period'!$C$84</c:f>
              <c:numCache>
                <c:formatCode>"$"#,##0.00_);[Red]\("$"#,##0.00\)</c:formatCode>
                <c:ptCount val="1"/>
                <c:pt idx="0">
                  <c:v>12.287020161921829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B88-104D-AE4E-1137F093EFEB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'Infinite Holding Period'!$A$3:$A$122</c:f>
              <c:numCache>
                <c:formatCode>General</c:formatCod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numCache>
            </c:numRef>
          </c:xVal>
          <c:yVal>
            <c:numRef>
              <c:f>'Infinite Holding Period'!$C$3:$C$121</c:f>
              <c:numCache>
                <c:formatCode>"$"#,##0.00_);[Red]\("$"#,##0.00\)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0.85762986838955013</c:v>
                </c:pt>
                <c:pt idx="4">
                  <c:v>1.6555985285433055</c:v>
                </c:pt>
                <c:pt idx="5">
                  <c:v>2.3980563253820169</c:v>
                </c:pt>
                <c:pt idx="6">
                  <c:v>3.0888648841797748</c:v>
                </c:pt>
                <c:pt idx="7">
                  <c:v>3.7316171954089934</c:v>
                </c:pt>
                <c:pt idx="8">
                  <c:v>4.3296563023787877</c:v>
                </c:pt>
                <c:pt idx="9">
                  <c:v>4.8860926888637266</c:v>
                </c:pt>
                <c:pt idx="10">
                  <c:v>5.4038204571584094</c:v>
                </c:pt>
                <c:pt idx="11">
                  <c:v>5.8855323807021573</c:v>
                </c:pt>
                <c:pt idx="12">
                  <c:v>6.333733909564601</c:v>
                </c:pt>
                <c:pt idx="13">
                  <c:v>6.7507562016366141</c:v>
                </c:pt>
                <c:pt idx="14">
                  <c:v>7.1387682473036174</c:v>
                </c:pt>
                <c:pt idx="15">
                  <c:v>7.4997881506633508</c:v>
                </c:pt>
                <c:pt idx="16">
                  <c:v>7.8356936259632777</c:v>
                </c:pt>
                <c:pt idx="17">
                  <c:v>8.1482317638510349</c:v>
                </c:pt>
                <c:pt idx="18">
                  <c:v>8.4390281182335585</c:v>
                </c:pt>
                <c:pt idx="19">
                  <c:v>8.7095951610068614</c:v>
                </c:pt>
                <c:pt idx="20">
                  <c:v>8.9613401486307165</c:v>
                </c:pt>
                <c:pt idx="21">
                  <c:v>9.1955724414633497</c:v>
                </c:pt>
                <c:pt idx="22">
                  <c:v>9.4135103139250145</c:v>
                </c:pt>
                <c:pt idx="23">
                  <c:v>9.616287290911087</c:v>
                </c:pt>
                <c:pt idx="24">
                  <c:v>9.8049580434111707</c:v>
                </c:pt>
                <c:pt idx="25">
                  <c:v>9.9805038739982042</c:v>
                </c:pt>
                <c:pt idx="26">
                  <c:v>10.143837820718316</c:v>
                </c:pt>
                <c:pt idx="27">
                  <c:v>10.295809405927463</c:v>
                </c:pt>
                <c:pt idx="28">
                  <c:v>10.437209054774234</c:v>
                </c:pt>
                <c:pt idx="29">
                  <c:v>10.568772206309925</c:v>
                </c:pt>
                <c:pt idx="30">
                  <c:v>10.69118313860835</c:v>
                </c:pt>
                <c:pt idx="31">
                  <c:v>10.805078527790364</c:v>
                </c:pt>
                <c:pt idx="32">
                  <c:v>10.911050759464064</c:v>
                </c:pt>
                <c:pt idx="33">
                  <c:v>11.009651009803941</c:v>
                </c:pt>
                <c:pt idx="34">
                  <c:v>11.101392112294088</c:v>
                </c:pt>
                <c:pt idx="35">
                  <c:v>11.186751225045789</c:v>
                </c:pt>
                <c:pt idx="36">
                  <c:v>11.26617231256259</c:v>
                </c:pt>
                <c:pt idx="37">
                  <c:v>11.34006845486083</c:v>
                </c:pt>
                <c:pt idx="38">
                  <c:v>11.408823995955716</c:v>
                </c:pt>
                <c:pt idx="39">
                  <c:v>11.472796542887478</c:v>
                </c:pt>
                <c:pt idx="40">
                  <c:v>11.532318825684857</c:v>
                </c:pt>
                <c:pt idx="41">
                  <c:v>11.587700427939811</c:v>
                </c:pt>
                <c:pt idx="42">
                  <c:v>11.63922939699442</c:v>
                </c:pt>
                <c:pt idx="43">
                  <c:v>11.687173742114794</c:v>
                </c:pt>
                <c:pt idx="44">
                  <c:v>11.731782828444185</c:v>
                </c:pt>
                <c:pt idx="45">
                  <c:v>11.773288673985446</c:v>
                </c:pt>
                <c:pt idx="46">
                  <c:v>11.811907156358618</c:v>
                </c:pt>
                <c:pt idx="47">
                  <c:v>11.847839135610178</c:v>
                </c:pt>
                <c:pt idx="48">
                  <c:v>11.881271498913804</c:v>
                </c:pt>
                <c:pt idx="49">
                  <c:v>11.912378132596308</c:v>
                </c:pt>
                <c:pt idx="50">
                  <c:v>11.941320826544379</c:v>
                </c:pt>
                <c:pt idx="51">
                  <c:v>11.968250115696058</c:v>
                </c:pt>
                <c:pt idx="52">
                  <c:v>11.99330606299371</c:v>
                </c:pt>
                <c:pt idx="53">
                  <c:v>12.016618987870658</c:v>
                </c:pt>
                <c:pt idx="54">
                  <c:v>12.03831014406051</c:v>
                </c:pt>
                <c:pt idx="55">
                  <c:v>12.058492350254548</c:v>
                </c:pt>
                <c:pt idx="56">
                  <c:v>12.077270576887262</c:v>
                </c:pt>
                <c:pt idx="57">
                  <c:v>12.094742492102046</c:v>
                </c:pt>
                <c:pt idx="58">
                  <c:v>12.110998969736674</c:v>
                </c:pt>
                <c:pt idx="59">
                  <c:v>12.126124561970631</c:v>
                </c:pt>
                <c:pt idx="60">
                  <c:v>12.14019793909266</c:v>
                </c:pt>
                <c:pt idx="61">
                  <c:v>12.153292298675765</c:v>
                </c:pt>
                <c:pt idx="62">
                  <c:v>12.165475746287873</c:v>
                </c:pt>
                <c:pt idx="63">
                  <c:v>12.176811649718267</c:v>
                </c:pt>
                <c:pt idx="64">
                  <c:v>12.187358968562203</c:v>
                </c:pt>
                <c:pt idx="65">
                  <c:v>12.197172560877862</c:v>
                </c:pt>
                <c:pt idx="66">
                  <c:v>12.206303468510693</c:v>
                </c:pt>
                <c:pt idx="67">
                  <c:v>12.214799182569065</c:v>
                </c:pt>
                <c:pt idx="68">
                  <c:v>12.222703890432074</c:v>
                </c:pt>
                <c:pt idx="69">
                  <c:v>12.230058705574177</c:v>
                </c:pt>
                <c:pt idx="70">
                  <c:v>12.236901881402046</c:v>
                </c:pt>
                <c:pt idx="71">
                  <c:v>12.243269010215805</c:v>
                </c:pt>
                <c:pt idx="72">
                  <c:v>12.249193208329473</c:v>
                </c:pt>
                <c:pt idx="73">
                  <c:v>12.254705288313495</c:v>
                </c:pt>
                <c:pt idx="74">
                  <c:v>12.259833919255152</c:v>
                </c:pt>
                <c:pt idx="75">
                  <c:v>12.264605775870432</c:v>
                </c:pt>
                <c:pt idx="76">
                  <c:v>12.269045677242913</c:v>
                </c:pt>
                <c:pt idx="77">
                  <c:v>12.273176715911218</c:v>
                </c:pt>
                <c:pt idx="78">
                  <c:v>12.277020377976511</c:v>
                </c:pt>
                <c:pt idx="79">
                  <c:v>12.280596654854653</c:v>
                </c:pt>
                <c:pt idx="80">
                  <c:v>12.283924147254316</c:v>
                </c:pt>
                <c:pt idx="81">
                  <c:v>12.287020161921829</c:v>
                </c:pt>
                <c:pt idx="82">
                  <c:v>12.28990080165595</c:v>
                </c:pt>
                <c:pt idx="83">
                  <c:v>12.292581049060741</c:v>
                </c:pt>
                <c:pt idx="84">
                  <c:v>12.295074844472154</c:v>
                </c:pt>
                <c:pt idx="85">
                  <c:v>12.297395158463642</c:v>
                </c:pt>
                <c:pt idx="86">
                  <c:v>12.299554059307898</c:v>
                </c:pt>
                <c:pt idx="87">
                  <c:v>12.301562775745596</c:v>
                </c:pt>
                <c:pt idx="88">
                  <c:v>12.303431755387628</c:v>
                </c:pt>
                <c:pt idx="89">
                  <c:v>12.305170719054562</c:v>
                </c:pt>
                <c:pt idx="90">
                  <c:v>12.306788711335971</c:v>
                </c:pt>
                <c:pt idx="91">
                  <c:v>12.308294147632585</c:v>
                </c:pt>
                <c:pt idx="92">
                  <c:v>12.309694857925956</c:v>
                </c:pt>
                <c:pt idx="93">
                  <c:v>12.310998127503268</c:v>
                </c:pt>
                <c:pt idx="94">
                  <c:v>12.312210734849115</c:v>
                </c:pt>
                <c:pt idx="95">
                  <c:v>12.313338986901337</c:v>
                </c:pt>
                <c:pt idx="96">
                  <c:v>12.314388751854274</c:v>
                </c:pt>
                <c:pt idx="97">
                  <c:v>12.315365489680049</c:v>
                </c:pt>
                <c:pt idx="98">
                  <c:v>12.31627428052664</c:v>
                </c:pt>
                <c:pt idx="99">
                  <c:v>12.317119851140427</c:v>
                </c:pt>
                <c:pt idx="100">
                  <c:v>12.317906599450644</c:v>
                </c:pt>
                <c:pt idx="101">
                  <c:v>12.31863861744363</c:v>
                </c:pt>
                <c:pt idx="102">
                  <c:v>12.319319712445798</c:v>
                </c:pt>
                <c:pt idx="103">
                  <c:v>12.319953426926077</c:v>
                </c:pt>
                <c:pt idx="104">
                  <c:v>12.320543056920771</c:v>
                </c:pt>
                <c:pt idx="105">
                  <c:v>12.321091669176704</c:v>
                </c:pt>
                <c:pt idx="106">
                  <c:v>12.321602117101788</c:v>
                </c:pt>
                <c:pt idx="107">
                  <c:v>12.322077055605998</c:v>
                </c:pt>
                <c:pt idx="108">
                  <c:v>12.322518954909915</c:v>
                </c:pt>
                <c:pt idx="109">
                  <c:v>12.32293011339269</c:v>
                </c:pt>
                <c:pt idx="110">
                  <c:v>12.32331266954623</c:v>
                </c:pt>
                <c:pt idx="111">
                  <c:v>12.323668613097782</c:v>
                </c:pt>
                <c:pt idx="112">
                  <c:v>12.323999795358793</c:v>
                </c:pt>
                <c:pt idx="113">
                  <c:v>12.324307938853819</c:v>
                </c:pt>
                <c:pt idx="114">
                  <c:v>12.324594646279627</c:v>
                </c:pt>
                <c:pt idx="115">
                  <c:v>12.324861408841031</c:v>
                </c:pt>
                <c:pt idx="116">
                  <c:v>12.325109614006859</c:v>
                </c:pt>
                <c:pt idx="117">
                  <c:v>12.325340552726368</c:v>
                </c:pt>
                <c:pt idx="118">
                  <c:v>12.32555542614365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B88-104D-AE4E-1137F093EFEB}"/>
            </c:ext>
          </c:extLst>
        </c:ser>
        <c:ser>
          <c:idx val="3"/>
          <c:order val="3"/>
          <c:spPr>
            <a:ln w="19050" cap="rnd">
              <a:solidFill>
                <a:srgbClr val="C0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'Infinite Holding Period'!$D$6:$D$7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Ref>
              <c:f>'Infinite Holding Period'!$E$6:$E$7</c:f>
              <c:numCache>
                <c:formatCode>_("$"* #,##0.00_);_("$"* \(#,##0.00\);_("$"* "-"??_);_(@_)</c:formatCode>
                <c:ptCount val="2"/>
                <c:pt idx="0">
                  <c:v>12.328429358099784</c:v>
                </c:pt>
                <c:pt idx="1">
                  <c:v>12.328429358099784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B88-104D-AE4E-1137F093E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6144223"/>
        <c:axId val="1456145855"/>
      </c:scatterChart>
      <c:valAx>
        <c:axId val="1456144223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</a:t>
                </a:r>
                <a:r>
                  <a:rPr lang="en-US" baseline="0"/>
                  <a:t> Dividends Included in Valuation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145855"/>
        <c:crosses val="autoZero"/>
        <c:crossBetween val="midCat"/>
      </c:valAx>
      <c:valAx>
        <c:axId val="145614585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 pe</a:t>
                </a:r>
                <a:r>
                  <a:rPr lang="en-US" baseline="0"/>
                  <a:t>r Share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_);[Red]\(&quot;$&quot;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144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15875</xdr:colOff>
      <xdr:row>4</xdr:row>
      <xdr:rowOff>57149</xdr:rowOff>
    </xdr:from>
    <xdr:to>
      <xdr:col>4</xdr:col>
      <xdr:colOff>819150</xdr:colOff>
      <xdr:row>11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EC5FB1-6FA0-A247-B163-4A72AAECB7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14605</xdr:colOff>
      <xdr:row>3</xdr:row>
      <xdr:rowOff>28575</xdr:rowOff>
    </xdr:from>
    <xdr:to>
      <xdr:col>8</xdr:col>
      <xdr:colOff>456565</xdr:colOff>
      <xdr:row>16</xdr:row>
      <xdr:rowOff>130175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9F83EE-83E7-9449-A827-5FD30DA999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891CC-8B13-3640-9255-B14739626440}">
  <dimension ref="A1:E4"/>
  <sheetViews>
    <sheetView tabSelected="1" zoomScale="137" workbookViewId="0">
      <selection activeCell="F11" sqref="F11"/>
    </sheetView>
  </sheetViews>
  <sheetFormatPr baseColWidth="10" defaultRowHeight="16" x14ac:dyDescent="0.2"/>
  <cols>
    <col min="1" max="1" width="14.5" customWidth="1"/>
  </cols>
  <sheetData>
    <row r="1" spans="1:5" x14ac:dyDescent="0.2">
      <c r="A1" s="19" t="s">
        <v>0</v>
      </c>
      <c r="B1" s="19"/>
      <c r="C1" s="19"/>
      <c r="D1" s="19"/>
      <c r="E1" s="19"/>
    </row>
    <row r="2" spans="1:5" x14ac:dyDescent="0.2">
      <c r="B2" t="s">
        <v>3</v>
      </c>
      <c r="C2" t="s">
        <v>4</v>
      </c>
      <c r="D2" t="s">
        <v>5</v>
      </c>
      <c r="E2" t="s">
        <v>6</v>
      </c>
    </row>
    <row r="3" spans="1:5" x14ac:dyDescent="0.2">
      <c r="A3" t="s">
        <v>1</v>
      </c>
      <c r="B3">
        <v>0</v>
      </c>
      <c r="C3" s="2">
        <v>0.5</v>
      </c>
      <c r="D3">
        <v>1</v>
      </c>
      <c r="E3" s="2">
        <v>1.5</v>
      </c>
    </row>
    <row r="4" spans="1:5" x14ac:dyDescent="0.2">
      <c r="A4" t="s">
        <v>2</v>
      </c>
      <c r="B4" s="1">
        <v>0.05</v>
      </c>
      <c r="C4" s="1">
        <f>$B$4+C3*($D$4-$B$4)</f>
        <v>0.08</v>
      </c>
      <c r="D4" s="1">
        <v>0.11</v>
      </c>
      <c r="E4" s="1">
        <f>$B$4+E3*($D$4-$B$4)</f>
        <v>0.14000000000000001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D1523-D7AE-8F4A-800A-3CAE520D6C38}">
  <dimension ref="A1:E122"/>
  <sheetViews>
    <sheetView zoomScale="125" zoomScaleNormal="125" workbookViewId="0">
      <selection activeCell="O10" sqref="O10"/>
    </sheetView>
  </sheetViews>
  <sheetFormatPr baseColWidth="10" defaultRowHeight="16" x14ac:dyDescent="0.2"/>
  <cols>
    <col min="2" max="2" width="10.83203125" style="4"/>
    <col min="3" max="3" width="13.83203125" customWidth="1"/>
  </cols>
  <sheetData>
    <row r="1" spans="1:5" x14ac:dyDescent="0.2">
      <c r="A1" s="19" t="s">
        <v>7</v>
      </c>
      <c r="B1" s="19"/>
      <c r="C1" s="19"/>
    </row>
    <row r="2" spans="1:5" x14ac:dyDescent="0.2">
      <c r="A2" t="s">
        <v>8</v>
      </c>
      <c r="B2" s="4" t="s">
        <v>9</v>
      </c>
      <c r="C2" t="s">
        <v>10</v>
      </c>
      <c r="D2" t="s">
        <v>11</v>
      </c>
      <c r="E2" s="3">
        <v>7.0000000000000007E-2</v>
      </c>
    </row>
    <row r="3" spans="1:5" x14ac:dyDescent="0.2">
      <c r="A3">
        <v>1</v>
      </c>
      <c r="B3" s="4">
        <v>0</v>
      </c>
      <c r="C3" s="5">
        <f>NPV(E$3,B$3:B3)</f>
        <v>0</v>
      </c>
      <c r="D3" t="s">
        <v>12</v>
      </c>
      <c r="E3" s="3">
        <v>0.15</v>
      </c>
    </row>
    <row r="4" spans="1:5" x14ac:dyDescent="0.2">
      <c r="A4">
        <v>2</v>
      </c>
      <c r="B4" s="4">
        <v>0</v>
      </c>
      <c r="C4" s="5">
        <f>NPV(E$3,B$3:B4)</f>
        <v>0</v>
      </c>
    </row>
    <row r="5" spans="1:5" x14ac:dyDescent="0.2">
      <c r="A5">
        <v>3</v>
      </c>
      <c r="B5" s="4">
        <v>0</v>
      </c>
      <c r="C5" s="5">
        <f>NPV(E$3,B$3:B5)</f>
        <v>0</v>
      </c>
    </row>
    <row r="6" spans="1:5" x14ac:dyDescent="0.2">
      <c r="A6">
        <v>4</v>
      </c>
      <c r="B6" s="4">
        <v>1.5</v>
      </c>
      <c r="C6" s="5">
        <f>NPV(E$3,B$3:B6)</f>
        <v>0.85762986838955013</v>
      </c>
      <c r="D6">
        <v>0</v>
      </c>
      <c r="E6" s="6">
        <f>B6/(E3-E2)/(1+E3)^3</f>
        <v>12.328429358099784</v>
      </c>
    </row>
    <row r="7" spans="1:5" x14ac:dyDescent="0.2">
      <c r="A7">
        <v>5</v>
      </c>
      <c r="B7" s="4">
        <f>B6*(1+E$2)</f>
        <v>1.605</v>
      </c>
      <c r="C7" s="5">
        <f>NPV(E$3,B$3:B7)</f>
        <v>1.6555985285433055</v>
      </c>
      <c r="D7">
        <v>120</v>
      </c>
      <c r="E7" s="6">
        <f>E6</f>
        <v>12.328429358099784</v>
      </c>
    </row>
    <row r="8" spans="1:5" x14ac:dyDescent="0.2">
      <c r="A8">
        <v>6</v>
      </c>
      <c r="B8" s="4">
        <f t="shared" ref="B8:B71" si="0">B7*(1+E$2)</f>
        <v>1.7173500000000002</v>
      </c>
      <c r="C8" s="5">
        <f>NPV(E$3,B$3:B8)</f>
        <v>2.3980563253820169</v>
      </c>
    </row>
    <row r="9" spans="1:5" x14ac:dyDescent="0.2">
      <c r="A9">
        <v>7</v>
      </c>
      <c r="B9" s="4">
        <f t="shared" si="0"/>
        <v>1.8375645000000003</v>
      </c>
      <c r="C9" s="5">
        <f>NPV(E$3,B$3:B9)</f>
        <v>3.0888648841797748</v>
      </c>
    </row>
    <row r="10" spans="1:5" x14ac:dyDescent="0.2">
      <c r="A10">
        <v>8</v>
      </c>
      <c r="B10" s="4">
        <f t="shared" si="0"/>
        <v>1.9661940150000004</v>
      </c>
      <c r="C10" s="5">
        <f>NPV(E$3,B$3:B10)</f>
        <v>3.7316171954089934</v>
      </c>
    </row>
    <row r="11" spans="1:5" x14ac:dyDescent="0.2">
      <c r="A11">
        <v>9</v>
      </c>
      <c r="B11" s="4">
        <f t="shared" si="0"/>
        <v>2.1038275960500004</v>
      </c>
      <c r="C11" s="5">
        <f>NPV(E$3,B$3:B11)</f>
        <v>4.3296563023787877</v>
      </c>
    </row>
    <row r="12" spans="1:5" x14ac:dyDescent="0.2">
      <c r="A12">
        <v>10</v>
      </c>
      <c r="B12" s="4">
        <f t="shared" si="0"/>
        <v>2.2510955277735003</v>
      </c>
      <c r="C12" s="5">
        <f>NPV(E$3,B$3:B12)</f>
        <v>4.8860926888637266</v>
      </c>
    </row>
    <row r="13" spans="1:5" x14ac:dyDescent="0.2">
      <c r="A13">
        <v>11</v>
      </c>
      <c r="B13" s="4">
        <f t="shared" si="0"/>
        <v>2.4086722147176456</v>
      </c>
      <c r="C13" s="5">
        <f>NPV(E$3,B$3:B13)</f>
        <v>5.4038204571584094</v>
      </c>
    </row>
    <row r="14" spans="1:5" x14ac:dyDescent="0.2">
      <c r="A14">
        <v>12</v>
      </c>
      <c r="B14" s="4">
        <f t="shared" si="0"/>
        <v>2.5772792697478808</v>
      </c>
      <c r="C14" s="5">
        <f>NPV(E$3,B$3:B14)</f>
        <v>5.8855323807021573</v>
      </c>
    </row>
    <row r="15" spans="1:5" x14ac:dyDescent="0.2">
      <c r="A15">
        <v>13</v>
      </c>
      <c r="B15" s="4">
        <f t="shared" si="0"/>
        <v>2.7576888186302324</v>
      </c>
      <c r="C15" s="5">
        <f>NPV(E$3,B$3:B15)</f>
        <v>6.333733909564601</v>
      </c>
    </row>
    <row r="16" spans="1:5" x14ac:dyDescent="0.2">
      <c r="A16">
        <v>14</v>
      </c>
      <c r="B16" s="4">
        <f t="shared" si="0"/>
        <v>2.9507270359343489</v>
      </c>
      <c r="C16" s="5">
        <f>NPV(E$3,B$3:B16)</f>
        <v>6.7507562016366141</v>
      </c>
    </row>
    <row r="17" spans="1:3" x14ac:dyDescent="0.2">
      <c r="A17">
        <v>15</v>
      </c>
      <c r="B17" s="4">
        <f t="shared" si="0"/>
        <v>3.1572779284497536</v>
      </c>
      <c r="C17" s="5">
        <f>NPV(E$3,B$3:B17)</f>
        <v>7.1387682473036174</v>
      </c>
    </row>
    <row r="18" spans="1:3" x14ac:dyDescent="0.2">
      <c r="A18">
        <v>16</v>
      </c>
      <c r="B18" s="4">
        <f t="shared" si="0"/>
        <v>3.3782873834412368</v>
      </c>
      <c r="C18" s="5">
        <f>NPV(E$3,B$3:B18)</f>
        <v>7.4997881506633508</v>
      </c>
    </row>
    <row r="19" spans="1:3" x14ac:dyDescent="0.2">
      <c r="A19">
        <v>17</v>
      </c>
      <c r="B19" s="4">
        <f t="shared" si="0"/>
        <v>3.6147675002821238</v>
      </c>
      <c r="C19" s="5">
        <f>NPV(E$3,B$3:B19)</f>
        <v>7.8356936259632777</v>
      </c>
    </row>
    <row r="20" spans="1:3" x14ac:dyDescent="0.2">
      <c r="A20">
        <v>18</v>
      </c>
      <c r="B20" s="4">
        <f t="shared" si="0"/>
        <v>3.8678012253018728</v>
      </c>
      <c r="C20" s="5">
        <f>NPV(E$3,B$3:B20)</f>
        <v>8.1482317638510349</v>
      </c>
    </row>
    <row r="21" spans="1:3" x14ac:dyDescent="0.2">
      <c r="A21">
        <v>19</v>
      </c>
      <c r="B21" s="4">
        <f t="shared" si="0"/>
        <v>4.1385473110730038</v>
      </c>
      <c r="C21" s="5">
        <f>NPV(E$3,B$3:B21)</f>
        <v>8.4390281182335585</v>
      </c>
    </row>
    <row r="22" spans="1:3" x14ac:dyDescent="0.2">
      <c r="A22">
        <v>20</v>
      </c>
      <c r="B22" s="4">
        <f t="shared" si="0"/>
        <v>4.428245622848114</v>
      </c>
      <c r="C22" s="5">
        <f>NPV(E$3,B$3:B22)</f>
        <v>8.7095951610068614</v>
      </c>
    </row>
    <row r="23" spans="1:3" x14ac:dyDescent="0.2">
      <c r="A23">
        <v>21</v>
      </c>
      <c r="B23" s="4">
        <f t="shared" si="0"/>
        <v>4.7382228164474824</v>
      </c>
      <c r="C23" s="5">
        <f>NPV(E$3,B$3:B23)</f>
        <v>8.9613401486307165</v>
      </c>
    </row>
    <row r="24" spans="1:3" x14ac:dyDescent="0.2">
      <c r="A24">
        <v>22</v>
      </c>
      <c r="B24" s="4">
        <f t="shared" si="0"/>
        <v>5.0698984135988061</v>
      </c>
      <c r="C24" s="5">
        <f>NPV(E$3,B$3:B24)</f>
        <v>9.1955724414633497</v>
      </c>
    </row>
    <row r="25" spans="1:3" x14ac:dyDescent="0.2">
      <c r="A25">
        <v>23</v>
      </c>
      <c r="B25" s="4">
        <f t="shared" si="0"/>
        <v>5.4247913025507231</v>
      </c>
      <c r="C25" s="5">
        <f>NPV(E$3,B$3:B25)</f>
        <v>9.4135103139250145</v>
      </c>
    </row>
    <row r="26" spans="1:3" x14ac:dyDescent="0.2">
      <c r="A26">
        <v>24</v>
      </c>
      <c r="B26" s="4">
        <f t="shared" si="0"/>
        <v>5.8045266937292741</v>
      </c>
      <c r="C26" s="5">
        <f>NPV(E$3,B$3:B26)</f>
        <v>9.616287290911087</v>
      </c>
    </row>
    <row r="27" spans="1:3" x14ac:dyDescent="0.2">
      <c r="A27">
        <v>25</v>
      </c>
      <c r="B27" s="4">
        <f t="shared" si="0"/>
        <v>6.2108435622903233</v>
      </c>
      <c r="C27" s="5">
        <f>NPV(E$3,B$3:B27)</f>
        <v>9.8049580434111707</v>
      </c>
    </row>
    <row r="28" spans="1:3" x14ac:dyDescent="0.2">
      <c r="A28">
        <v>26</v>
      </c>
      <c r="B28" s="4">
        <f t="shared" si="0"/>
        <v>6.6456026116506459</v>
      </c>
      <c r="C28" s="5">
        <f>NPV(E$3,B$3:B28)</f>
        <v>9.9805038739982042</v>
      </c>
    </row>
    <row r="29" spans="1:3" x14ac:dyDescent="0.2">
      <c r="A29">
        <v>27</v>
      </c>
      <c r="B29" s="4">
        <f t="shared" si="0"/>
        <v>7.1107947944661918</v>
      </c>
      <c r="C29" s="5">
        <f>NPV(E$3,B$3:B29)</f>
        <v>10.143837820718316</v>
      </c>
    </row>
    <row r="30" spans="1:3" x14ac:dyDescent="0.2">
      <c r="A30">
        <v>28</v>
      </c>
      <c r="B30" s="4">
        <f t="shared" si="0"/>
        <v>7.608550430078826</v>
      </c>
      <c r="C30" s="5">
        <f>NPV(E$3,B$3:B30)</f>
        <v>10.295809405927463</v>
      </c>
    </row>
    <row r="31" spans="1:3" x14ac:dyDescent="0.2">
      <c r="A31">
        <v>29</v>
      </c>
      <c r="B31" s="4">
        <f t="shared" si="0"/>
        <v>8.1411489601843439</v>
      </c>
      <c r="C31" s="5">
        <f>NPV(E$3,B$3:B31)</f>
        <v>10.437209054774234</v>
      </c>
    </row>
    <row r="32" spans="1:3" x14ac:dyDescent="0.2">
      <c r="A32">
        <v>30</v>
      </c>
      <c r="B32" s="4">
        <f t="shared" si="0"/>
        <v>8.7110293873972484</v>
      </c>
      <c r="C32" s="5">
        <f>NPV(E$3,B$3:B32)</f>
        <v>10.568772206309925</v>
      </c>
    </row>
    <row r="33" spans="1:3" x14ac:dyDescent="0.2">
      <c r="A33">
        <v>31</v>
      </c>
      <c r="B33" s="4">
        <f t="shared" si="0"/>
        <v>9.3208014445150571</v>
      </c>
      <c r="C33" s="5">
        <f>NPV(E$3,B$3:B33)</f>
        <v>10.69118313860835</v>
      </c>
    </row>
    <row r="34" spans="1:3" x14ac:dyDescent="0.2">
      <c r="A34">
        <v>32</v>
      </c>
      <c r="B34" s="4">
        <f t="shared" si="0"/>
        <v>9.9732575456311121</v>
      </c>
      <c r="C34" s="5">
        <f>NPV(E$3,B$3:B34)</f>
        <v>10.805078527790364</v>
      </c>
    </row>
    <row r="35" spans="1:3" x14ac:dyDescent="0.2">
      <c r="A35">
        <v>33</v>
      </c>
      <c r="B35" s="4">
        <f t="shared" si="0"/>
        <v>10.67138557382529</v>
      </c>
      <c r="C35" s="5">
        <f>NPV(E$3,B$3:B35)</f>
        <v>10.911050759464064</v>
      </c>
    </row>
    <row r="36" spans="1:3" x14ac:dyDescent="0.2">
      <c r="A36">
        <v>34</v>
      </c>
      <c r="B36" s="4">
        <f t="shared" si="0"/>
        <v>11.418382563993061</v>
      </c>
      <c r="C36" s="5">
        <f>NPV(E$3,B$3:B36)</f>
        <v>11.009651009803941</v>
      </c>
    </row>
    <row r="37" spans="1:3" x14ac:dyDescent="0.2">
      <c r="A37">
        <v>35</v>
      </c>
      <c r="B37" s="4">
        <f t="shared" si="0"/>
        <v>12.217669343472576</v>
      </c>
      <c r="C37" s="5">
        <f>NPV(E$3,B$3:B37)</f>
        <v>11.101392112294088</v>
      </c>
    </row>
    <row r="38" spans="1:3" x14ac:dyDescent="0.2">
      <c r="A38">
        <v>36</v>
      </c>
      <c r="B38" s="4">
        <f t="shared" si="0"/>
        <v>13.072906197515657</v>
      </c>
      <c r="C38" s="5">
        <f>NPV(E$3,B$3:B38)</f>
        <v>11.186751225045789</v>
      </c>
    </row>
    <row r="39" spans="1:3" x14ac:dyDescent="0.2">
      <c r="A39">
        <v>37</v>
      </c>
      <c r="B39" s="4">
        <f t="shared" si="0"/>
        <v>13.988009631341754</v>
      </c>
      <c r="C39" s="5">
        <f>NPV(E$3,B$3:B39)</f>
        <v>11.26617231256259</v>
      </c>
    </row>
    <row r="40" spans="1:3" x14ac:dyDescent="0.2">
      <c r="A40">
        <v>38</v>
      </c>
      <c r="B40" s="4">
        <f t="shared" si="0"/>
        <v>14.967170305535678</v>
      </c>
      <c r="C40" s="5">
        <f>NPV(E$3,B$3:B40)</f>
        <v>11.34006845486083</v>
      </c>
    </row>
    <row r="41" spans="1:3" x14ac:dyDescent="0.2">
      <c r="A41">
        <v>39</v>
      </c>
      <c r="B41" s="4">
        <f t="shared" si="0"/>
        <v>16.014872226923178</v>
      </c>
      <c r="C41" s="5">
        <f>NPV(E$3,B$3:B41)</f>
        <v>11.408823995955716</v>
      </c>
    </row>
    <row r="42" spans="1:3" x14ac:dyDescent="0.2">
      <c r="A42">
        <v>40</v>
      </c>
      <c r="B42" s="4">
        <f t="shared" si="0"/>
        <v>17.135913282807802</v>
      </c>
      <c r="C42" s="5">
        <f>NPV(E$3,B$3:B42)</f>
        <v>11.472796542887478</v>
      </c>
    </row>
    <row r="43" spans="1:3" x14ac:dyDescent="0.2">
      <c r="A43">
        <v>41</v>
      </c>
      <c r="B43" s="4">
        <f t="shared" si="0"/>
        <v>18.335427212604351</v>
      </c>
      <c r="C43" s="5">
        <f>NPV(E$3,B$3:B43)</f>
        <v>11.532318825684857</v>
      </c>
    </row>
    <row r="44" spans="1:3" x14ac:dyDescent="0.2">
      <c r="A44">
        <v>42</v>
      </c>
      <c r="B44" s="4">
        <f t="shared" si="0"/>
        <v>19.618907117486657</v>
      </c>
      <c r="C44" s="5">
        <f>NPV(E$3,B$3:B44)</f>
        <v>11.587700427939811</v>
      </c>
    </row>
    <row r="45" spans="1:3" x14ac:dyDescent="0.2">
      <c r="A45">
        <v>43</v>
      </c>
      <c r="B45" s="4">
        <f t="shared" si="0"/>
        <v>20.992230615710724</v>
      </c>
      <c r="C45" s="5">
        <f>NPV(E$3,B$3:B45)</f>
        <v>11.63922939699442</v>
      </c>
    </row>
    <row r="46" spans="1:3" x14ac:dyDescent="0.2">
      <c r="A46">
        <v>44</v>
      </c>
      <c r="B46" s="4">
        <f t="shared" si="0"/>
        <v>22.461686758810476</v>
      </c>
      <c r="C46" s="5">
        <f>NPV(E$3,B$3:B46)</f>
        <v>11.687173742114794</v>
      </c>
    </row>
    <row r="47" spans="1:3" x14ac:dyDescent="0.2">
      <c r="A47">
        <v>45</v>
      </c>
      <c r="B47" s="4">
        <f t="shared" si="0"/>
        <v>24.034004831927209</v>
      </c>
      <c r="C47" s="5">
        <f>NPV(E$3,B$3:B47)</f>
        <v>11.731782828444185</v>
      </c>
    </row>
    <row r="48" spans="1:3" x14ac:dyDescent="0.2">
      <c r="A48">
        <v>46</v>
      </c>
      <c r="B48" s="4">
        <f t="shared" si="0"/>
        <v>25.716385170162116</v>
      </c>
      <c r="C48" s="5">
        <f>NPV(E$3,B$3:B48)</f>
        <v>11.773288673985446</v>
      </c>
    </row>
    <row r="49" spans="1:3" x14ac:dyDescent="0.2">
      <c r="A49">
        <v>47</v>
      </c>
      <c r="B49" s="4">
        <f t="shared" si="0"/>
        <v>27.516532132073465</v>
      </c>
      <c r="C49" s="5">
        <f>NPV(E$3,B$3:B49)</f>
        <v>11.811907156358618</v>
      </c>
    </row>
    <row r="50" spans="1:3" x14ac:dyDescent="0.2">
      <c r="A50">
        <v>48</v>
      </c>
      <c r="B50" s="4">
        <f t="shared" si="0"/>
        <v>29.442689381318608</v>
      </c>
      <c r="C50" s="5">
        <f>NPV(E$3,B$3:B50)</f>
        <v>11.847839135610178</v>
      </c>
    </row>
    <row r="51" spans="1:3" x14ac:dyDescent="0.2">
      <c r="A51">
        <v>49</v>
      </c>
      <c r="B51" s="4">
        <f t="shared" si="0"/>
        <v>31.503677638010913</v>
      </c>
      <c r="C51" s="5">
        <f>NPV(E$3,B$3:B51)</f>
        <v>11.881271498913804</v>
      </c>
    </row>
    <row r="52" spans="1:3" x14ac:dyDescent="0.2">
      <c r="A52">
        <v>50</v>
      </c>
      <c r="B52" s="4">
        <f t="shared" si="0"/>
        <v>33.708935072671679</v>
      </c>
      <c r="C52" s="5">
        <f>NPV(E$3,B$3:B52)</f>
        <v>11.912378132596308</v>
      </c>
    </row>
    <row r="53" spans="1:3" x14ac:dyDescent="0.2">
      <c r="A53">
        <v>51</v>
      </c>
      <c r="B53" s="4">
        <f t="shared" si="0"/>
        <v>36.068560527758699</v>
      </c>
      <c r="C53" s="5">
        <f>NPV(E$3,B$3:B53)</f>
        <v>11.941320826544379</v>
      </c>
    </row>
    <row r="54" spans="1:3" x14ac:dyDescent="0.2">
      <c r="A54">
        <v>52</v>
      </c>
      <c r="B54" s="4">
        <f t="shared" si="0"/>
        <v>38.593359764701809</v>
      </c>
      <c r="C54" s="5">
        <f>NPV(E$3,B$3:B54)</f>
        <v>11.968250115696058</v>
      </c>
    </row>
    <row r="55" spans="1:3" x14ac:dyDescent="0.2">
      <c r="A55">
        <v>53</v>
      </c>
      <c r="B55" s="4">
        <f t="shared" si="0"/>
        <v>41.29489494823094</v>
      </c>
      <c r="C55" s="5">
        <f>NPV(E$3,B$3:B55)</f>
        <v>11.99330606299371</v>
      </c>
    </row>
    <row r="56" spans="1:3" x14ac:dyDescent="0.2">
      <c r="A56">
        <v>54</v>
      </c>
      <c r="B56" s="4">
        <f t="shared" si="0"/>
        <v>44.185537594607112</v>
      </c>
      <c r="C56" s="5">
        <f>NPV(E$3,B$3:B56)</f>
        <v>12.016618987870658</v>
      </c>
    </row>
    <row r="57" spans="1:3" x14ac:dyDescent="0.2">
      <c r="A57">
        <v>55</v>
      </c>
      <c r="B57" s="4">
        <f t="shared" si="0"/>
        <v>47.278525226229611</v>
      </c>
      <c r="C57" s="5">
        <f>NPV(E$3,B$3:B57)</f>
        <v>12.03831014406051</v>
      </c>
    </row>
    <row r="58" spans="1:3" x14ac:dyDescent="0.2">
      <c r="A58">
        <v>56</v>
      </c>
      <c r="B58" s="4">
        <f t="shared" si="0"/>
        <v>50.588021992065684</v>
      </c>
      <c r="C58" s="5">
        <f>NPV(E$3,B$3:B58)</f>
        <v>12.058492350254548</v>
      </c>
    </row>
    <row r="59" spans="1:3" x14ac:dyDescent="0.2">
      <c r="A59">
        <v>57</v>
      </c>
      <c r="B59" s="4">
        <f t="shared" si="0"/>
        <v>54.129183531510286</v>
      </c>
      <c r="C59" s="5">
        <f>NPV(E$3,B$3:B59)</f>
        <v>12.077270576887262</v>
      </c>
    </row>
    <row r="60" spans="1:3" x14ac:dyDescent="0.2">
      <c r="A60">
        <v>58</v>
      </c>
      <c r="B60" s="4">
        <f t="shared" si="0"/>
        <v>57.918226378716007</v>
      </c>
      <c r="C60" s="5">
        <f>NPV(E$3,B$3:B60)</f>
        <v>12.094742492102046</v>
      </c>
    </row>
    <row r="61" spans="1:3" x14ac:dyDescent="0.2">
      <c r="A61">
        <v>59</v>
      </c>
      <c r="B61" s="4">
        <f t="shared" si="0"/>
        <v>61.97250222522613</v>
      </c>
      <c r="C61" s="5">
        <f>NPV(E$3,B$3:B61)</f>
        <v>12.110998969736674</v>
      </c>
    </row>
    <row r="62" spans="1:3" x14ac:dyDescent="0.2">
      <c r="A62">
        <v>60</v>
      </c>
      <c r="B62" s="4">
        <f t="shared" si="0"/>
        <v>66.310577380991958</v>
      </c>
      <c r="C62" s="5">
        <f>NPV(E$3,B$3:B62)</f>
        <v>12.126124561970631</v>
      </c>
    </row>
    <row r="63" spans="1:3" x14ac:dyDescent="0.2">
      <c r="A63">
        <v>61</v>
      </c>
      <c r="B63" s="4">
        <f t="shared" si="0"/>
        <v>70.952317797661394</v>
      </c>
      <c r="C63" s="5">
        <f>NPV(E$3,B$3:B63)</f>
        <v>12.14019793909266</v>
      </c>
    </row>
    <row r="64" spans="1:3" x14ac:dyDescent="0.2">
      <c r="A64">
        <v>62</v>
      </c>
      <c r="B64" s="4">
        <f t="shared" si="0"/>
        <v>75.918980043497697</v>
      </c>
      <c r="C64" s="5">
        <f>NPV(E$3,B$3:B64)</f>
        <v>12.153292298675765</v>
      </c>
    </row>
    <row r="65" spans="1:3" x14ac:dyDescent="0.2">
      <c r="A65">
        <v>63</v>
      </c>
      <c r="B65" s="4">
        <f t="shared" si="0"/>
        <v>81.23330864654254</v>
      </c>
      <c r="C65" s="5">
        <f>NPV(E$3,B$3:B65)</f>
        <v>12.165475746287873</v>
      </c>
    </row>
    <row r="66" spans="1:3" x14ac:dyDescent="0.2">
      <c r="A66">
        <v>64</v>
      </c>
      <c r="B66" s="4">
        <f t="shared" si="0"/>
        <v>86.919640251800516</v>
      </c>
      <c r="C66" s="5">
        <f>NPV(E$3,B$3:B66)</f>
        <v>12.176811649718267</v>
      </c>
    </row>
    <row r="67" spans="1:3" x14ac:dyDescent="0.2">
      <c r="A67">
        <v>65</v>
      </c>
      <c r="B67" s="4">
        <f t="shared" si="0"/>
        <v>93.004015069426558</v>
      </c>
      <c r="C67" s="5">
        <f>NPV(E$3,B$3:B67)</f>
        <v>12.187358968562203</v>
      </c>
    </row>
    <row r="68" spans="1:3" x14ac:dyDescent="0.2">
      <c r="A68">
        <v>66</v>
      </c>
      <c r="B68" s="4">
        <f t="shared" si="0"/>
        <v>99.514296124286417</v>
      </c>
      <c r="C68" s="5">
        <f>NPV(E$3,B$3:B68)</f>
        <v>12.197172560877862</v>
      </c>
    </row>
    <row r="69" spans="1:3" x14ac:dyDescent="0.2">
      <c r="A69">
        <v>67</v>
      </c>
      <c r="B69" s="4">
        <f t="shared" si="0"/>
        <v>106.48029685298647</v>
      </c>
      <c r="C69" s="5">
        <f>NPV(E$3,B$3:B69)</f>
        <v>12.206303468510693</v>
      </c>
    </row>
    <row r="70" spans="1:3" x14ac:dyDescent="0.2">
      <c r="A70">
        <v>68</v>
      </c>
      <c r="B70" s="4">
        <f t="shared" si="0"/>
        <v>113.93391763269553</v>
      </c>
      <c r="C70" s="5">
        <f>NPV(E$3,B$3:B70)</f>
        <v>12.214799182569065</v>
      </c>
    </row>
    <row r="71" spans="1:3" x14ac:dyDescent="0.2">
      <c r="A71">
        <v>69</v>
      </c>
      <c r="B71" s="4">
        <f t="shared" si="0"/>
        <v>121.90929186698422</v>
      </c>
      <c r="C71" s="5">
        <f>NPV(E$3,B$3:B71)</f>
        <v>12.222703890432074</v>
      </c>
    </row>
    <row r="72" spans="1:3" x14ac:dyDescent="0.2">
      <c r="A72">
        <v>70</v>
      </c>
      <c r="B72" s="4">
        <f t="shared" ref="B72:B122" si="1">B71*(1+E$2)</f>
        <v>130.44294229767311</v>
      </c>
      <c r="C72" s="5">
        <f>NPV(E$3,B$3:B72)</f>
        <v>12.230058705574177</v>
      </c>
    </row>
    <row r="73" spans="1:3" x14ac:dyDescent="0.2">
      <c r="A73">
        <v>71</v>
      </c>
      <c r="B73" s="4">
        <f t="shared" si="1"/>
        <v>139.57394825851023</v>
      </c>
      <c r="C73" s="5">
        <f>NPV(E$3,B$3:B73)</f>
        <v>12.236901881402046</v>
      </c>
    </row>
    <row r="74" spans="1:3" x14ac:dyDescent="0.2">
      <c r="A74">
        <v>72</v>
      </c>
      <c r="B74" s="4">
        <f t="shared" si="1"/>
        <v>149.34412463660595</v>
      </c>
      <c r="C74" s="5">
        <f>NPV(E$3,B$3:B74)</f>
        <v>12.243269010215805</v>
      </c>
    </row>
    <row r="75" spans="1:3" x14ac:dyDescent="0.2">
      <c r="A75">
        <v>73</v>
      </c>
      <c r="B75" s="4">
        <f t="shared" si="1"/>
        <v>159.79821336116839</v>
      </c>
      <c r="C75" s="5">
        <f>NPV(E$3,B$3:B75)</f>
        <v>12.249193208329473</v>
      </c>
    </row>
    <row r="76" spans="1:3" x14ac:dyDescent="0.2">
      <c r="A76">
        <v>74</v>
      </c>
      <c r="B76" s="4">
        <f t="shared" si="1"/>
        <v>170.98408829645018</v>
      </c>
      <c r="C76" s="5">
        <f>NPV(E$3,B$3:B76)</f>
        <v>12.254705288313495</v>
      </c>
    </row>
    <row r="77" spans="1:3" x14ac:dyDescent="0.2">
      <c r="A77">
        <v>75</v>
      </c>
      <c r="B77" s="4">
        <f t="shared" si="1"/>
        <v>182.95297447720171</v>
      </c>
      <c r="C77" s="5">
        <f>NPV(E$3,B$3:B77)</f>
        <v>12.259833919255152</v>
      </c>
    </row>
    <row r="78" spans="1:3" x14ac:dyDescent="0.2">
      <c r="A78">
        <v>76</v>
      </c>
      <c r="B78" s="4">
        <f t="shared" si="1"/>
        <v>195.75968269060584</v>
      </c>
      <c r="C78" s="5">
        <f>NPV(E$3,B$3:B78)</f>
        <v>12.264605775870432</v>
      </c>
    </row>
    <row r="79" spans="1:3" x14ac:dyDescent="0.2">
      <c r="A79">
        <v>77</v>
      </c>
      <c r="B79" s="4">
        <f t="shared" si="1"/>
        <v>209.46286047894827</v>
      </c>
      <c r="C79" s="5">
        <f>NPV(E$3,B$3:B79)</f>
        <v>12.269045677242913</v>
      </c>
    </row>
    <row r="80" spans="1:3" x14ac:dyDescent="0.2">
      <c r="A80">
        <v>78</v>
      </c>
      <c r="B80" s="4">
        <f t="shared" si="1"/>
        <v>224.12526071247467</v>
      </c>
      <c r="C80" s="5">
        <f>NPV(E$3,B$3:B80)</f>
        <v>12.273176715911218</v>
      </c>
    </row>
    <row r="81" spans="1:3" x14ac:dyDescent="0.2">
      <c r="A81">
        <v>79</v>
      </c>
      <c r="B81" s="4">
        <f t="shared" si="1"/>
        <v>239.81402896234792</v>
      </c>
      <c r="C81" s="5">
        <f>NPV(E$3,B$3:B81)</f>
        <v>12.277020377976511</v>
      </c>
    </row>
    <row r="82" spans="1:3" x14ac:dyDescent="0.2">
      <c r="A82">
        <v>80</v>
      </c>
      <c r="B82" s="4">
        <f t="shared" si="1"/>
        <v>256.60101098971228</v>
      </c>
      <c r="C82" s="5">
        <f>NPV(E$3,B$3:B82)</f>
        <v>12.280596654854653</v>
      </c>
    </row>
    <row r="83" spans="1:3" x14ac:dyDescent="0.2">
      <c r="A83">
        <v>81</v>
      </c>
      <c r="B83" s="4">
        <f t="shared" si="1"/>
        <v>274.56308175899215</v>
      </c>
      <c r="C83" s="5">
        <f>NPV(E$3,B$3:B83)</f>
        <v>12.283924147254316</v>
      </c>
    </row>
    <row r="84" spans="1:3" x14ac:dyDescent="0.2">
      <c r="A84">
        <v>82</v>
      </c>
      <c r="B84" s="4">
        <f t="shared" si="1"/>
        <v>293.78249748212164</v>
      </c>
      <c r="C84" s="5">
        <f>NPV(E$3,B$3:B84)</f>
        <v>12.287020161921829</v>
      </c>
    </row>
    <row r="85" spans="1:3" x14ac:dyDescent="0.2">
      <c r="A85">
        <v>83</v>
      </c>
      <c r="B85" s="4">
        <f t="shared" si="1"/>
        <v>314.34727230587015</v>
      </c>
      <c r="C85" s="5">
        <f>NPV(E$3,B$3:B85)</f>
        <v>12.28990080165595</v>
      </c>
    </row>
    <row r="86" spans="1:3" x14ac:dyDescent="0.2">
      <c r="A86">
        <v>84</v>
      </c>
      <c r="B86" s="4">
        <f t="shared" si="1"/>
        <v>336.35158136728109</v>
      </c>
      <c r="C86" s="5">
        <f>NPV(E$3,B$3:B86)</f>
        <v>12.292581049060741</v>
      </c>
    </row>
    <row r="87" spans="1:3" x14ac:dyDescent="0.2">
      <c r="A87">
        <v>85</v>
      </c>
      <c r="B87" s="4">
        <f t="shared" si="1"/>
        <v>359.89619206299079</v>
      </c>
      <c r="C87" s="5">
        <f>NPV(E$3,B$3:B87)</f>
        <v>12.295074844472154</v>
      </c>
    </row>
    <row r="88" spans="1:3" x14ac:dyDescent="0.2">
      <c r="A88">
        <v>86</v>
      </c>
      <c r="B88" s="4">
        <f t="shared" si="1"/>
        <v>385.08892550740018</v>
      </c>
      <c r="C88" s="5">
        <f>NPV(E$3,B$3:B88)</f>
        <v>12.297395158463642</v>
      </c>
    </row>
    <row r="89" spans="1:3" x14ac:dyDescent="0.2">
      <c r="A89">
        <v>87</v>
      </c>
      <c r="B89" s="4">
        <f t="shared" si="1"/>
        <v>412.04515029291821</v>
      </c>
      <c r="C89" s="5">
        <f>NPV(E$3,B$3:B89)</f>
        <v>12.299554059307898</v>
      </c>
    </row>
    <row r="90" spans="1:3" x14ac:dyDescent="0.2">
      <c r="A90">
        <v>88</v>
      </c>
      <c r="B90" s="4">
        <f t="shared" si="1"/>
        <v>440.88831081342249</v>
      </c>
      <c r="C90" s="5">
        <f>NPV(E$3,B$3:B90)</f>
        <v>12.301562775745596</v>
      </c>
    </row>
    <row r="91" spans="1:3" x14ac:dyDescent="0.2">
      <c r="A91">
        <v>89</v>
      </c>
      <c r="B91" s="4">
        <f t="shared" si="1"/>
        <v>471.7504925703621</v>
      </c>
      <c r="C91" s="5">
        <f>NPV(E$3,B$3:B91)</f>
        <v>12.303431755387628</v>
      </c>
    </row>
    <row r="92" spans="1:3" x14ac:dyDescent="0.2">
      <c r="A92">
        <v>90</v>
      </c>
      <c r="B92" s="4">
        <f t="shared" si="1"/>
        <v>504.77302705028745</v>
      </c>
      <c r="C92" s="5">
        <f>NPV(E$3,B$3:B92)</f>
        <v>12.305170719054562</v>
      </c>
    </row>
    <row r="93" spans="1:3" x14ac:dyDescent="0.2">
      <c r="A93">
        <v>91</v>
      </c>
      <c r="B93" s="4">
        <f t="shared" si="1"/>
        <v>540.10713894380763</v>
      </c>
      <c r="C93" s="5">
        <f>NPV(E$3,B$3:B93)</f>
        <v>12.306788711335971</v>
      </c>
    </row>
    <row r="94" spans="1:3" x14ac:dyDescent="0.2">
      <c r="A94">
        <v>92</v>
      </c>
      <c r="B94" s="4">
        <f t="shared" si="1"/>
        <v>577.91463866987419</v>
      </c>
      <c r="C94" s="5">
        <f>NPV(E$3,B$3:B94)</f>
        <v>12.308294147632585</v>
      </c>
    </row>
    <row r="95" spans="1:3" x14ac:dyDescent="0.2">
      <c r="A95">
        <v>93</v>
      </c>
      <c r="B95" s="4">
        <f t="shared" si="1"/>
        <v>618.36866337676543</v>
      </c>
      <c r="C95" s="5">
        <f>NPV(E$3,B$3:B95)</f>
        <v>12.309694857925956</v>
      </c>
    </row>
    <row r="96" spans="1:3" x14ac:dyDescent="0.2">
      <c r="A96">
        <v>94</v>
      </c>
      <c r="B96" s="4">
        <f t="shared" si="1"/>
        <v>661.65446981313903</v>
      </c>
      <c r="C96" s="5">
        <f>NPV(E$3,B$3:B96)</f>
        <v>12.310998127503268</v>
      </c>
    </row>
    <row r="97" spans="1:3" x14ac:dyDescent="0.2">
      <c r="A97">
        <v>95</v>
      </c>
      <c r="B97" s="4">
        <f t="shared" si="1"/>
        <v>707.97028270005876</v>
      </c>
      <c r="C97" s="5">
        <f>NPV(E$3,B$3:B97)</f>
        <v>12.312210734849115</v>
      </c>
    </row>
    <row r="98" spans="1:3" x14ac:dyDescent="0.2">
      <c r="A98">
        <v>96</v>
      </c>
      <c r="B98" s="4">
        <f t="shared" si="1"/>
        <v>757.52820248906289</v>
      </c>
      <c r="C98" s="5">
        <f>NPV(E$3,B$3:B98)</f>
        <v>12.313338986901337</v>
      </c>
    </row>
    <row r="99" spans="1:3" x14ac:dyDescent="0.2">
      <c r="A99">
        <v>97</v>
      </c>
      <c r="B99" s="4">
        <f t="shared" si="1"/>
        <v>810.55517666329729</v>
      </c>
      <c r="C99" s="5">
        <f>NPV(E$3,B$3:B99)</f>
        <v>12.314388751854274</v>
      </c>
    </row>
    <row r="100" spans="1:3" x14ac:dyDescent="0.2">
      <c r="A100">
        <v>98</v>
      </c>
      <c r="B100" s="4">
        <f t="shared" si="1"/>
        <v>867.2940390297282</v>
      </c>
      <c r="C100" s="5">
        <f>NPV(E$3,B$3:B100)</f>
        <v>12.315365489680049</v>
      </c>
    </row>
    <row r="101" spans="1:3" x14ac:dyDescent="0.2">
      <c r="A101">
        <v>99</v>
      </c>
      <c r="B101" s="4">
        <f t="shared" si="1"/>
        <v>928.00462176180918</v>
      </c>
      <c r="C101" s="5">
        <f>NPV(E$3,B$3:B101)</f>
        <v>12.31627428052664</v>
      </c>
    </row>
    <row r="102" spans="1:3" x14ac:dyDescent="0.2">
      <c r="A102">
        <v>100</v>
      </c>
      <c r="B102" s="4">
        <f t="shared" si="1"/>
        <v>992.96494528513585</v>
      </c>
      <c r="C102" s="5">
        <f>NPV(E$3,B$3:B102)</f>
        <v>12.317119851140427</v>
      </c>
    </row>
    <row r="103" spans="1:3" x14ac:dyDescent="0.2">
      <c r="A103">
        <v>101</v>
      </c>
      <c r="B103" s="4">
        <f t="shared" si="1"/>
        <v>1062.4724914550955</v>
      </c>
      <c r="C103" s="5">
        <f>NPV(E$3,B$3:B103)</f>
        <v>12.317906599450644</v>
      </c>
    </row>
    <row r="104" spans="1:3" x14ac:dyDescent="0.2">
      <c r="A104">
        <v>102</v>
      </c>
      <c r="B104" s="4">
        <f t="shared" si="1"/>
        <v>1136.8455658569521</v>
      </c>
      <c r="C104" s="5">
        <f>NPV(E$3,B$3:B104)</f>
        <v>12.31863861744363</v>
      </c>
    </row>
    <row r="105" spans="1:3" x14ac:dyDescent="0.2">
      <c r="A105">
        <v>103</v>
      </c>
      <c r="B105" s="4">
        <f t="shared" si="1"/>
        <v>1216.4247554669389</v>
      </c>
      <c r="C105" s="5">
        <f>NPV(E$3,B$3:B105)</f>
        <v>12.319319712445798</v>
      </c>
    </row>
    <row r="106" spans="1:3" x14ac:dyDescent="0.2">
      <c r="A106">
        <v>104</v>
      </c>
      <c r="B106" s="4">
        <f t="shared" si="1"/>
        <v>1301.5744883496247</v>
      </c>
      <c r="C106" s="5">
        <f>NPV(E$3,B$3:B106)</f>
        <v>12.319953426926077</v>
      </c>
    </row>
    <row r="107" spans="1:3" x14ac:dyDescent="0.2">
      <c r="A107">
        <v>105</v>
      </c>
      <c r="B107" s="4">
        <f t="shared" si="1"/>
        <v>1392.6847025340985</v>
      </c>
      <c r="C107" s="5">
        <f>NPV(E$3,B$3:B107)</f>
        <v>12.320543056920771</v>
      </c>
    </row>
    <row r="108" spans="1:3" x14ac:dyDescent="0.2">
      <c r="A108">
        <v>106</v>
      </c>
      <c r="B108" s="4">
        <f t="shared" si="1"/>
        <v>1490.1726317114856</v>
      </c>
      <c r="C108" s="5">
        <f>NPV(E$3,B$3:B108)</f>
        <v>12.321091669176704</v>
      </c>
    </row>
    <row r="109" spans="1:3" x14ac:dyDescent="0.2">
      <c r="A109">
        <v>107</v>
      </c>
      <c r="B109" s="4">
        <f t="shared" si="1"/>
        <v>1594.4847159312897</v>
      </c>
      <c r="C109" s="5">
        <f>NPV(E$3,B$3:B109)</f>
        <v>12.321602117101788</v>
      </c>
    </row>
    <row r="110" spans="1:3" x14ac:dyDescent="0.2">
      <c r="A110">
        <v>108</v>
      </c>
      <c r="B110" s="4">
        <f t="shared" si="1"/>
        <v>1706.0986460464801</v>
      </c>
      <c r="C110" s="5">
        <f>NPV(E$3,B$3:B110)</f>
        <v>12.322077055605998</v>
      </c>
    </row>
    <row r="111" spans="1:3" x14ac:dyDescent="0.2">
      <c r="A111">
        <v>109</v>
      </c>
      <c r="B111" s="4">
        <f t="shared" si="1"/>
        <v>1825.5255512697338</v>
      </c>
      <c r="C111" s="5">
        <f>NPV(E$3,B$3:B111)</f>
        <v>12.322518954909915</v>
      </c>
    </row>
    <row r="112" spans="1:3" x14ac:dyDescent="0.2">
      <c r="A112">
        <v>110</v>
      </c>
      <c r="B112" s="4">
        <f t="shared" si="1"/>
        <v>1953.3123398586154</v>
      </c>
      <c r="C112" s="5">
        <f>NPV(E$3,B$3:B112)</f>
        <v>12.32293011339269</v>
      </c>
    </row>
    <row r="113" spans="1:3" x14ac:dyDescent="0.2">
      <c r="A113">
        <v>111</v>
      </c>
      <c r="B113" s="4">
        <f t="shared" si="1"/>
        <v>2090.0442036487184</v>
      </c>
      <c r="C113" s="5">
        <f>NPV(E$3,B$3:B113)</f>
        <v>12.32331266954623</v>
      </c>
    </row>
    <row r="114" spans="1:3" x14ac:dyDescent="0.2">
      <c r="A114">
        <v>112</v>
      </c>
      <c r="B114" s="4">
        <f t="shared" si="1"/>
        <v>2236.3472979041289</v>
      </c>
      <c r="C114" s="5">
        <f>NPV(E$3,B$3:B114)</f>
        <v>12.323668613097782</v>
      </c>
    </row>
    <row r="115" spans="1:3" x14ac:dyDescent="0.2">
      <c r="A115">
        <v>113</v>
      </c>
      <c r="B115" s="4">
        <f t="shared" si="1"/>
        <v>2392.891608757418</v>
      </c>
      <c r="C115" s="5">
        <f>NPV(E$3,B$3:B115)</f>
        <v>12.323999795358793</v>
      </c>
    </row>
    <row r="116" spans="1:3" x14ac:dyDescent="0.2">
      <c r="A116">
        <v>114</v>
      </c>
      <c r="B116" s="4">
        <f t="shared" si="1"/>
        <v>2560.3940213704373</v>
      </c>
      <c r="C116" s="5">
        <f>NPV(E$3,B$3:B116)</f>
        <v>12.324307938853819</v>
      </c>
    </row>
    <row r="117" spans="1:3" x14ac:dyDescent="0.2">
      <c r="A117">
        <v>115</v>
      </c>
      <c r="B117" s="4">
        <f t="shared" si="1"/>
        <v>2739.621602866368</v>
      </c>
      <c r="C117" s="5">
        <f>NPV(E$3,B$3:B117)</f>
        <v>12.324594646279627</v>
      </c>
    </row>
    <row r="118" spans="1:3" x14ac:dyDescent="0.2">
      <c r="A118">
        <v>116</v>
      </c>
      <c r="B118" s="4">
        <f t="shared" si="1"/>
        <v>2931.3951150670141</v>
      </c>
      <c r="C118" s="5">
        <f>NPV(E$3,B$3:B118)</f>
        <v>12.324861408841031</v>
      </c>
    </row>
    <row r="119" spans="1:3" x14ac:dyDescent="0.2">
      <c r="A119">
        <v>117</v>
      </c>
      <c r="B119" s="4">
        <f t="shared" si="1"/>
        <v>3136.5927731217052</v>
      </c>
      <c r="C119" s="5">
        <f>NPV(E$3,B$3:B119)</f>
        <v>12.325109614006859</v>
      </c>
    </row>
    <row r="120" spans="1:3" x14ac:dyDescent="0.2">
      <c r="A120">
        <v>118</v>
      </c>
      <c r="B120" s="4">
        <f t="shared" si="1"/>
        <v>3356.1542672402247</v>
      </c>
      <c r="C120" s="5">
        <f>NPV(E$3,B$3:B120)</f>
        <v>12.325340552726368</v>
      </c>
    </row>
    <row r="121" spans="1:3" x14ac:dyDescent="0.2">
      <c r="A121">
        <v>119</v>
      </c>
      <c r="B121" s="4">
        <f t="shared" si="1"/>
        <v>3591.0850659470407</v>
      </c>
      <c r="C121" s="5">
        <f>NPV(E$3,B$3:B121)</f>
        <v>12.32555542614365</v>
      </c>
    </row>
    <row r="122" spans="1:3" x14ac:dyDescent="0.2">
      <c r="A122">
        <v>120</v>
      </c>
      <c r="B122" s="4">
        <f t="shared" si="1"/>
        <v>3842.4610205633339</v>
      </c>
      <c r="C122" s="5">
        <f>NPV(E$3,B$3:B122)</f>
        <v>12.325755351844949</v>
      </c>
    </row>
  </sheetData>
  <mergeCells count="1">
    <mergeCell ref="A1:C1"/>
  </mergeCells>
  <pageMargins left="0.7" right="0.7" top="0.75" bottom="0.75" header="0.3" footer="0.3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2D11D-D78E-F54F-8076-333CF9974D83}">
  <dimension ref="A1:B8"/>
  <sheetViews>
    <sheetView zoomScale="225" workbookViewId="0">
      <selection activeCell="B6" sqref="B6"/>
    </sheetView>
  </sheetViews>
  <sheetFormatPr baseColWidth="10" defaultRowHeight="16" x14ac:dyDescent="0.2"/>
  <cols>
    <col min="1" max="1" width="25.83203125" customWidth="1"/>
    <col min="2" max="2" width="11.5" bestFit="1" customWidth="1"/>
  </cols>
  <sheetData>
    <row r="1" spans="1:2" ht="17" thickBot="1" x14ac:dyDescent="0.25">
      <c r="A1" s="20" t="s">
        <v>13</v>
      </c>
      <c r="B1" s="20"/>
    </row>
    <row r="2" spans="1:2" x14ac:dyDescent="0.2">
      <c r="A2" s="8" t="s">
        <v>41</v>
      </c>
      <c r="B2" s="8">
        <v>0.35</v>
      </c>
    </row>
    <row r="3" spans="1:2" x14ac:dyDescent="0.2">
      <c r="A3" s="7" t="s">
        <v>42</v>
      </c>
      <c r="B3" s="9">
        <v>0.15</v>
      </c>
    </row>
    <row r="4" spans="1:2" x14ac:dyDescent="0.2">
      <c r="A4" s="7" t="s">
        <v>43</v>
      </c>
      <c r="B4" s="9">
        <v>0.08</v>
      </c>
    </row>
    <row r="5" spans="1:2" x14ac:dyDescent="0.2">
      <c r="A5" s="7" t="s">
        <v>44</v>
      </c>
      <c r="B5" s="7">
        <v>5</v>
      </c>
    </row>
    <row r="6" spans="1:2" x14ac:dyDescent="0.2">
      <c r="A6" s="7" t="s">
        <v>18</v>
      </c>
      <c r="B6" s="9">
        <v>0.12</v>
      </c>
    </row>
    <row r="7" spans="1:2" x14ac:dyDescent="0.2">
      <c r="A7" s="7"/>
      <c r="B7" s="7"/>
    </row>
    <row r="8" spans="1:2" x14ac:dyDescent="0.2">
      <c r="A8" s="7" t="s">
        <v>45</v>
      </c>
      <c r="B8" s="7">
        <f>B2*(1+B3)/(B6-B3)*(1-((1+B3)/(1+B6))^B5)+((B2*(1+B3)^B5*(1+B4))/(B6-B4))/(1+B6)^B5</f>
        <v>12.681016201875638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DD07E-E178-3E48-9057-97A5F7D62A36}">
  <dimension ref="A1:F13"/>
  <sheetViews>
    <sheetView zoomScale="156" workbookViewId="0">
      <selection activeCell="D20" sqref="D20"/>
    </sheetView>
  </sheetViews>
  <sheetFormatPr baseColWidth="10" defaultRowHeight="16" x14ac:dyDescent="0.2"/>
  <cols>
    <col min="1" max="1" width="32.6640625" customWidth="1"/>
    <col min="2" max="2" width="16.5" customWidth="1"/>
    <col min="5" max="5" width="11.6640625" bestFit="1" customWidth="1"/>
    <col min="6" max="6" width="15.5" bestFit="1" customWidth="1"/>
  </cols>
  <sheetData>
    <row r="1" spans="1:6" ht="17" thickBot="1" x14ac:dyDescent="0.25">
      <c r="A1" s="21" t="s">
        <v>14</v>
      </c>
      <c r="B1" s="22"/>
    </row>
    <row r="2" spans="1:6" x14ac:dyDescent="0.2">
      <c r="A2" s="8" t="s">
        <v>15</v>
      </c>
      <c r="B2" s="8">
        <v>1.4</v>
      </c>
      <c r="D2" s="12" t="s">
        <v>17</v>
      </c>
      <c r="E2" s="13">
        <f>B9</f>
        <v>9.7499999999999989E-2</v>
      </c>
      <c r="F2" s="14">
        <f>B13</f>
        <v>21.777777777777771</v>
      </c>
    </row>
    <row r="3" spans="1:6" x14ac:dyDescent="0.2">
      <c r="A3" s="7" t="s">
        <v>16</v>
      </c>
      <c r="B3" s="7">
        <v>0.49</v>
      </c>
      <c r="D3" s="7">
        <v>0.1</v>
      </c>
      <c r="E3" s="10">
        <f t="dataTable" ref="E3:F8" dt2D="0" dtr="0" r1="B4"/>
        <v>6.4999999999999988E-2</v>
      </c>
      <c r="F3" s="11">
        <v>8.9090909090909101</v>
      </c>
    </row>
    <row r="4" spans="1:6" x14ac:dyDescent="0.2">
      <c r="A4" s="7" t="s">
        <v>17</v>
      </c>
      <c r="B4" s="15">
        <v>0.15</v>
      </c>
      <c r="D4" s="7">
        <v>0.12</v>
      </c>
      <c r="E4" s="10">
        <v>7.7999999999999986E-2</v>
      </c>
      <c r="F4" s="11">
        <v>11.666666666666666</v>
      </c>
    </row>
    <row r="5" spans="1:6" x14ac:dyDescent="0.2">
      <c r="A5" s="7" t="s">
        <v>18</v>
      </c>
      <c r="B5" s="15">
        <v>0.12</v>
      </c>
      <c r="D5" s="7">
        <v>0.14000000000000001</v>
      </c>
      <c r="E5" s="10">
        <v>9.0999999999999998E-2</v>
      </c>
      <c r="F5" s="11">
        <v>16.896551724137932</v>
      </c>
    </row>
    <row r="6" spans="1:6" x14ac:dyDescent="0.2">
      <c r="A6" s="7"/>
      <c r="B6" s="15"/>
      <c r="D6" s="7">
        <v>0.16</v>
      </c>
      <c r="E6" s="10">
        <v>0.10399999999999998</v>
      </c>
      <c r="F6" s="11">
        <v>30.624999999999993</v>
      </c>
    </row>
    <row r="7" spans="1:6" x14ac:dyDescent="0.2">
      <c r="A7" s="7" t="s">
        <v>19</v>
      </c>
      <c r="B7" s="7">
        <f>B2-B3</f>
        <v>0.90999999999999992</v>
      </c>
      <c r="D7" s="7">
        <v>0.18</v>
      </c>
      <c r="E7" s="10">
        <v>0.11699999999999998</v>
      </c>
      <c r="F7" s="11">
        <v>163.33333333333246</v>
      </c>
    </row>
    <row r="8" spans="1:6" x14ac:dyDescent="0.2">
      <c r="A8" s="7" t="s">
        <v>20</v>
      </c>
      <c r="B8" s="15">
        <f>1-B3/B2</f>
        <v>0.64999999999999991</v>
      </c>
      <c r="D8" s="7">
        <v>0.2</v>
      </c>
      <c r="E8" s="10">
        <v>0.12999999999999998</v>
      </c>
      <c r="F8" s="11">
        <v>-49.000000000000121</v>
      </c>
    </row>
    <row r="9" spans="1:6" x14ac:dyDescent="0.2">
      <c r="A9" s="7" t="s">
        <v>11</v>
      </c>
      <c r="B9" s="15">
        <f>B4*B8</f>
        <v>9.7499999999999989E-2</v>
      </c>
    </row>
    <row r="10" spans="1:6" x14ac:dyDescent="0.2">
      <c r="A10" s="7"/>
      <c r="B10" s="15"/>
    </row>
    <row r="11" spans="1:6" x14ac:dyDescent="0.2">
      <c r="A11" s="7" t="s">
        <v>21</v>
      </c>
      <c r="B11" s="16">
        <f>B2/B5</f>
        <v>11.666666666666666</v>
      </c>
    </row>
    <row r="12" spans="1:6" x14ac:dyDescent="0.2">
      <c r="A12" s="7" t="s">
        <v>22</v>
      </c>
      <c r="B12" s="16">
        <f>B7*(B4/B5-1)/(B5-B9)</f>
        <v>10.111111111111107</v>
      </c>
    </row>
    <row r="13" spans="1:6" x14ac:dyDescent="0.2">
      <c r="A13" s="7" t="s">
        <v>23</v>
      </c>
      <c r="B13" s="16">
        <f>B11+B12</f>
        <v>21.777777777777771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6F359-738A-2649-A006-7CF517AE7165}">
  <dimension ref="A1:B19"/>
  <sheetViews>
    <sheetView zoomScale="125" workbookViewId="0">
      <selection activeCell="C6" sqref="C6"/>
    </sheetView>
  </sheetViews>
  <sheetFormatPr baseColWidth="10" defaultRowHeight="16" x14ac:dyDescent="0.2"/>
  <cols>
    <col min="1" max="1" width="25.1640625" customWidth="1"/>
    <col min="2" max="2" width="19.83203125" customWidth="1"/>
  </cols>
  <sheetData>
    <row r="1" spans="1:2" x14ac:dyDescent="0.2">
      <c r="A1" s="23" t="s">
        <v>24</v>
      </c>
      <c r="B1" s="23"/>
    </row>
    <row r="2" spans="1:2" x14ac:dyDescent="0.2">
      <c r="A2" s="23" t="s">
        <v>25</v>
      </c>
      <c r="B2" s="23"/>
    </row>
    <row r="3" spans="1:2" x14ac:dyDescent="0.2">
      <c r="A3" s="7" t="s">
        <v>26</v>
      </c>
      <c r="B3" s="17">
        <v>160000</v>
      </c>
    </row>
    <row r="4" spans="1:2" x14ac:dyDescent="0.2">
      <c r="A4" s="7" t="s">
        <v>27</v>
      </c>
      <c r="B4" s="17">
        <v>40000</v>
      </c>
    </row>
    <row r="5" spans="1:2" x14ac:dyDescent="0.2">
      <c r="A5" s="7" t="s">
        <v>28</v>
      </c>
      <c r="B5" s="18">
        <v>0.25</v>
      </c>
    </row>
    <row r="6" spans="1:2" x14ac:dyDescent="0.2">
      <c r="A6" s="7" t="s">
        <v>29</v>
      </c>
      <c r="B6" s="17">
        <v>30000</v>
      </c>
    </row>
    <row r="7" spans="1:2" x14ac:dyDescent="0.2">
      <c r="A7" s="7" t="s">
        <v>30</v>
      </c>
      <c r="B7" s="17">
        <v>25000</v>
      </c>
    </row>
    <row r="8" spans="1:2" x14ac:dyDescent="0.2">
      <c r="A8" s="7" t="s">
        <v>31</v>
      </c>
      <c r="B8" s="17">
        <v>450000</v>
      </c>
    </row>
    <row r="9" spans="1:2" x14ac:dyDescent="0.2">
      <c r="A9" s="7" t="s">
        <v>32</v>
      </c>
      <c r="B9" s="18">
        <v>0.12</v>
      </c>
    </row>
    <row r="10" spans="1:2" x14ac:dyDescent="0.2">
      <c r="A10" s="7" t="s">
        <v>33</v>
      </c>
      <c r="B10" s="18">
        <v>7.0000000000000007E-2</v>
      </c>
    </row>
    <row r="11" spans="1:2" x14ac:dyDescent="0.2">
      <c r="A11" s="7" t="s">
        <v>34</v>
      </c>
      <c r="B11" s="17">
        <v>350000</v>
      </c>
    </row>
    <row r="12" spans="1:2" x14ac:dyDescent="0.2">
      <c r="A12" s="7"/>
      <c r="B12" s="17"/>
    </row>
    <row r="13" spans="1:2" x14ac:dyDescent="0.2">
      <c r="A13" s="7" t="s">
        <v>35</v>
      </c>
      <c r="B13" s="17">
        <f>B3*(1-B5)</f>
        <v>120000</v>
      </c>
    </row>
    <row r="14" spans="1:2" x14ac:dyDescent="0.2">
      <c r="A14" s="7" t="s">
        <v>36</v>
      </c>
      <c r="B14" s="17">
        <f>B13+B4</f>
        <v>160000</v>
      </c>
    </row>
    <row r="15" spans="1:2" x14ac:dyDescent="0.2">
      <c r="A15" s="7" t="s">
        <v>37</v>
      </c>
      <c r="B15" s="17">
        <f>B14-B6</f>
        <v>130000</v>
      </c>
    </row>
    <row r="16" spans="1:2" x14ac:dyDescent="0.2">
      <c r="A16" s="7"/>
      <c r="B16" s="17"/>
    </row>
    <row r="17" spans="1:2" x14ac:dyDescent="0.2">
      <c r="A17" s="7" t="s">
        <v>38</v>
      </c>
      <c r="B17" s="17">
        <f>B15/(B9-B10)+B7</f>
        <v>2625000.0000000005</v>
      </c>
    </row>
    <row r="18" spans="1:2" x14ac:dyDescent="0.2">
      <c r="A18" s="7" t="s">
        <v>39</v>
      </c>
      <c r="B18" s="17">
        <f>B17-B8</f>
        <v>2175000.0000000005</v>
      </c>
    </row>
    <row r="19" spans="1:2" x14ac:dyDescent="0.2">
      <c r="A19" s="7" t="s">
        <v>40</v>
      </c>
      <c r="B19" s="7">
        <f>B18/B11</f>
        <v>6.2142857142857153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Security Market Line</vt:lpstr>
      <vt:lpstr>Infinite Holding Period</vt:lpstr>
      <vt:lpstr>Multi Stage Model</vt:lpstr>
      <vt:lpstr>Earnings Model</vt:lpstr>
      <vt:lpstr>Free 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nikolas carruthers</dc:creator>
  <cp:lastModifiedBy>Nikolas Carruthers</cp:lastModifiedBy>
  <dcterms:created xsi:type="dcterms:W3CDTF">2025-10-22T03:07:16Z</dcterms:created>
  <dcterms:modified xsi:type="dcterms:W3CDTF">2026-05-18T21:49:31Z</dcterms:modified>
</cp:coreProperties>
</file>