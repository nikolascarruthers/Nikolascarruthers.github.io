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7D0AFDFA-6E50-D340-A35D-687C8E972529}" xr6:coauthVersionLast="47" xr6:coauthVersionMax="47" xr10:uidLastSave="{00000000-0000-0000-0000-000000000000}"/>
  <bookViews>
    <workbookView xWindow="15360" yWindow="760" windowWidth="30960" windowHeight="22660" activeTab="1" xr2:uid="{00000000-000D-0000-FFFF-FFFF00000000}"/>
  </bookViews>
  <sheets>
    <sheet name="__FDSCACHE__" sheetId="1" r:id="rId1"/>
    <sheet name="Five ETFs 5 Years Monthly" sheetId="2" r:id="rId2"/>
  </sheets>
  <definedNames>
    <definedName name="solver_adj" localSheetId="1" hidden="1">'Five ETFs 5 Years Monthly'!$U$14:$U$18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'Five ETFs 5 Years Monthly'!$U$19</definedName>
    <definedName name="solver_lhs2" localSheetId="1" hidden="1">'Five ETFs 5 Years Monthly'!$U$21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opt" localSheetId="1" hidden="1">'Five ETFs 5 Years Monthly'!$U$21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1</definedName>
    <definedName name="solver_rhs2" localSheetId="1" hidden="1">'Five ETFs 5 Years Monthly'!$L$3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 a="1"/>
  <c r="I7" i="2" s="1"/>
  <c r="I20" i="2" s="1" a="1"/>
  <c r="I20" i="2" s="1"/>
  <c r="I21" i="2" l="1" a="1"/>
  <c r="I21" i="2" s="1"/>
  <c r="N17" i="2"/>
  <c r="R17" i="2"/>
  <c r="S17" i="2"/>
  <c r="M14" i="2"/>
  <c r="N14" i="2"/>
  <c r="O14" i="2"/>
  <c r="P14" i="2"/>
  <c r="Q14" i="2"/>
  <c r="R14" i="2"/>
  <c r="S14" i="2"/>
  <c r="M15" i="2"/>
  <c r="N15" i="2"/>
  <c r="O15" i="2"/>
  <c r="P15" i="2"/>
  <c r="Q15" i="2"/>
  <c r="R15" i="2"/>
  <c r="S15" i="2"/>
  <c r="M16" i="2"/>
  <c r="N16" i="2"/>
  <c r="O16" i="2"/>
  <c r="P16" i="2"/>
  <c r="Q16" i="2"/>
  <c r="R16" i="2"/>
  <c r="S16" i="2"/>
  <c r="M17" i="2"/>
  <c r="O17" i="2"/>
  <c r="P17" i="2"/>
  <c r="Q17" i="2"/>
  <c r="M18" i="2"/>
  <c r="N18" i="2"/>
  <c r="O18" i="2"/>
  <c r="P18" i="2"/>
  <c r="Q18" i="2"/>
  <c r="R18" i="2"/>
  <c r="S18" i="2"/>
  <c r="L14" i="2"/>
  <c r="L15" i="2"/>
  <c r="L16" i="2"/>
  <c r="L17" i="2"/>
  <c r="L18" i="2"/>
  <c r="K14" i="2"/>
  <c r="K15" i="2"/>
  <c r="K16" i="2"/>
  <c r="K17" i="2"/>
  <c r="K18" i="2"/>
  <c r="J15" i="2"/>
  <c r="J16" i="2"/>
  <c r="J17" i="2"/>
  <c r="J18" i="2"/>
  <c r="J14" i="2"/>
  <c r="V21" i="2"/>
  <c r="V20" i="2"/>
  <c r="J4" i="2"/>
  <c r="K4" i="2"/>
  <c r="L4" i="2"/>
  <c r="M4" i="2"/>
  <c r="I4" i="2"/>
  <c r="J3" i="2"/>
  <c r="K3" i="2"/>
  <c r="L3" i="2"/>
  <c r="M3" i="2"/>
  <c r="I3" i="2"/>
  <c r="V19" i="2"/>
  <c r="I19" i="2"/>
  <c r="N21" i="2" l="1" a="1"/>
  <c r="N21" i="2" s="1"/>
  <c r="L20" i="2" a="1"/>
  <c r="L20" i="2" s="1"/>
  <c r="Q20" i="2" a="1"/>
  <c r="Q20" i="2" s="1"/>
  <c r="O20" i="2" a="1"/>
  <c r="O20" i="2" s="1"/>
  <c r="P21" i="2" a="1"/>
  <c r="P21" i="2" s="1"/>
  <c r="R20" i="2" a="1"/>
  <c r="R20" i="2" s="1"/>
  <c r="O21" i="2" a="1"/>
  <c r="O21" i="2" s="1"/>
  <c r="S21" i="2" a="1"/>
  <c r="S21" i="2" s="1"/>
  <c r="M20" i="2" a="1"/>
  <c r="M20" i="2" s="1"/>
  <c r="K21" i="2" a="1"/>
  <c r="K21" i="2" s="1"/>
  <c r="J21" i="2" a="1"/>
  <c r="J21" i="2" s="1"/>
  <c r="L21" i="2" a="1"/>
  <c r="L21" i="2" s="1"/>
  <c r="R21" i="2" a="1"/>
  <c r="R21" i="2" s="1"/>
  <c r="N20" i="2" a="1"/>
  <c r="N20" i="2" s="1"/>
  <c r="S20" i="2" a="1"/>
  <c r="S20" i="2" s="1"/>
  <c r="P20" i="2" a="1"/>
  <c r="P20" i="2" s="1"/>
  <c r="K20" i="2" a="1"/>
  <c r="K20" i="2" s="1"/>
  <c r="Q21" i="2" a="1"/>
  <c r="Q21" i="2" s="1"/>
  <c r="J20" i="2" a="1"/>
  <c r="J20" i="2" s="1"/>
  <c r="J19" i="2"/>
  <c r="M21" i="2" a="1"/>
  <c r="M21" i="2" s="1"/>
  <c r="O19" i="2"/>
  <c r="Q19" i="2"/>
  <c r="P19" i="2"/>
  <c r="S19" i="2"/>
  <c r="N19" i="2"/>
  <c r="R19" i="2"/>
  <c r="M19" i="2"/>
  <c r="K19" i="2"/>
  <c r="L19" i="2"/>
  <c r="U19" i="2"/>
  <c r="U20" i="2" a="1"/>
  <c r="U20" i="2" s="1"/>
  <c r="U21" i="2" a="1"/>
  <c r="U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Times New Roman"/>
            <family val="1"/>
            <scheme val="minor"/>
          </rPr>
          <t>&lt;?xml version="1.0" encoding="utf-8"?&gt;&lt;Schema xmlns:xsi="http://www.w3.org/2001/XMLSchema-instance" xmlns:xsd="http://www.w3.org/2001/XMLSchema" Version="1"&gt;&lt;FQL&gt;&lt;Q&gt;IYT^DATE(-5AY,0M,M)&lt;/Q&gt;&lt;R&gt;60&lt;/R&gt;&lt;C&gt;1&lt;/C&gt;&lt;D xsi:type="xsd:string"&gt;3/12&lt;/D&gt;&lt;D xsi:type="xsd:string"&gt;4/12&lt;/D&gt;&lt;D xsi:type="xsd:string"&gt;5/12&lt;/D&gt;&lt;D xsi:type="xsd:string"&gt;6/12&lt;/D&gt;&lt;D xsi:type="xsd:string"&gt;7/12&lt;/D&gt;&lt;D xsi:type="xsd:string"&gt;8/12&lt;/D&gt;&lt;D xsi:type="xsd:string"&gt;9/12&lt;/D&gt;&lt;D xsi:type="xsd:string"&gt;10/12&lt;/D&gt;&lt;D xsi:type="xsd:string"&gt;11/12&lt;/D&gt;&lt;D xsi:type="xsd:string"&gt;12/12&lt;/D&gt;&lt;D xsi:type="xsd:string"&gt;1/13&lt;/D&gt;&lt;D xsi:type="xsd:string"&gt;2/13&lt;/D&gt;&lt;D xsi:type="xsd:string"&gt;3/13&lt;/D&gt;&lt;D xsi:type="xsd:string"&gt;4/13&lt;/D&gt;&lt;D xsi:type="xsd:string"&gt;5/13&lt;/D&gt;&lt;D xsi:type="xsd:string"&gt;6/13&lt;/D&gt;&lt;D xsi:type="xsd:string"&gt;7/13&lt;/D&gt;&lt;D xsi:type="xsd:string"&gt;8/13&lt;/D&gt;&lt;D xsi:type="xsd:string"&gt;9/13&lt;/D&gt;&lt;D xsi:type="xsd:string"&gt;10/13&lt;/D&gt;&lt;D xsi:type="xsd:string"&gt;11/13&lt;/D&gt;&lt;D xsi:type="xsd:string"&gt;12/13&lt;/D&gt;&lt;D xsi:type="xsd:string"&gt;1/14&lt;/D&gt;&lt;D xsi:type="xsd:string"&gt;2/14&lt;/D&gt;&lt;D xsi:type="xsd:string"&gt;3/14&lt;/D&gt;&lt;D xsi:type="xsd:string"&gt;4/14&lt;/D&gt;&lt;D xsi:type="xsd:string"&gt;5/14&lt;/D&gt;&lt;D xsi:type="xsd:string"&gt;6/14&lt;/D&gt;&lt;D xsi:type="xsd:string"&gt;7/14&lt;/D&gt;&lt;D xsi:type="xsd:string"&gt;8/14&lt;/D&gt;&lt;D xsi:type="xsd:string"&gt;9/14&lt;/D&gt;&lt;D xsi:type="xsd:string"&gt;10/14&lt;/D&gt;&lt;D xsi:type="xsd:string"&gt;11/14&lt;/D&gt;&lt;D xsi:type="xsd:string"&gt;12/14&lt;/D&gt;&lt;D xsi:type="xsd:string"&gt;1/15&lt;/D&gt;&lt;D xsi:type="xsd:string"&gt;2/15&lt;/D&gt;&lt;D xsi:type="xsd:string"&gt;3/15&lt;/D&gt;&lt;D xsi:type="xsd:string"&gt;4/15&lt;/D&gt;&lt;D xsi:type="xsd:string"&gt;5/15&lt;/D&gt;&lt;D xsi:type="xsd:string"&gt;6/15&lt;/D&gt;&lt;D xsi:type="xsd:string"&gt;7/15&lt;/D&gt;&lt;D xsi:type="xsd:string"&gt;8/15&lt;/D&gt;&lt;D xsi:type="xsd:string"&gt;9/15&lt;/D&gt;&lt;D xsi:type="xsd:string"&gt;10/15&lt;/D&gt;&lt;D xsi:type="xsd:string"&gt;11/15&lt;/D&gt;&lt;D xsi:type="xsd:string"&gt;12/15&lt;/D&gt;&lt;D xsi:type="xsd:string"&gt;1/16&lt;/D&gt;&lt;D xsi:type="xsd:string"&gt;2/16&lt;/D&gt;&lt;D xsi:type="xsd:string"&gt;3/16&lt;/D&gt;&lt;D xsi:type="xsd:string"&gt;4/16&lt;/D&gt;&lt;D xsi:type="xsd:string"&gt;5/16&lt;/D&gt;&lt;D xsi:type="xsd:string"&gt;6/16&lt;/D&gt;&lt;D xsi:type="xsd:string"&gt;7/16&lt;/D&gt;&lt;D xsi:type="xsd:string"&gt;8/16&lt;/D&gt;&lt;D xsi:type="xsd:string"&gt;9/16&lt;/D&gt;&lt;D xsi:type="xsd:string"&gt;10/16&lt;/D&gt;&lt;D xsi:type="xsd:string"&gt;11/16&lt;/D&gt;&lt;D xsi:type="xsd:string"&gt;12/16&lt;/D&gt;&lt;D xsi:type="xsd:string"&gt;1/17&lt;/D&gt;&lt;D xsi:type="xsd:string"&gt;2/17&lt;/D&gt;&lt;/FQL&gt;&lt;FQL&gt;&lt;Q&gt;IYT^P_TOTAL_RETURNC(-5AY,0M,M)/100&lt;/Q&gt;&lt;R&gt;60&lt;/R&gt;&lt;C&gt;1&lt;/C&gt;&lt;D xsi:type="xsd:double"&gt;0.02100921&lt;/D&gt;&lt;D xsi:type="xsd:double"&gt;-0.005230069&lt;/D&gt;&lt;D xsi:type="xsd:double"&gt;-0.02103&lt;/D&gt;&lt;D xsi:type="xsd:double"&gt;0.02659452&lt;/D&gt;&lt;D xsi:type="xsd:double"&gt;-0.02635807&lt;/D&gt;&lt;D xsi:type="xsd:double"&gt;-0.01705736&lt;/D&gt;&lt;D xsi:type="xsd:double"&gt;-0.02209365&lt;/D&gt;&lt;D xsi:type="xsd:double"&gt;0.03341377&lt;/D&gt;&lt;D xsi:type="xsd:double"&gt;0.01111114&lt;/D&gt;&lt;D xsi:type="xsd:double"&gt;0.03981853&lt;/D&gt;&lt;D xsi:type="xsd:double"&gt;0.09226322&lt;/D&gt;&lt;D xsi:type="xsd:double"&gt;0.03512847&lt;/D&gt;&lt;D xsi:type="xsd:double"&gt;0.045872090000000004&lt;/D&gt;&lt;D xsi:type="xsd:double"&gt;-0.011410654000000001&lt;/D&gt;&lt;D xsi:type="xsd:double"&gt;0.02153957&lt;/D&gt;&lt;D xsi:type="xsd:double"&gt;-0.01970506&lt;/D&gt;&lt;D xsi:type="xsd:double"&gt;0.050595999999999995&lt;/D&gt;&lt;D xsi:type="xsd:double"&gt;-0.03282803&lt;/D&gt;&lt;D xsi:type="xsd:double"&gt;0.056151030000000005&lt;/D&gt;&lt;D xsi:type="xsd:double"&gt;0.05959368&lt;/D&gt;&lt;D xsi:type="xsd:double"&gt;0.03979468&lt;/D&gt;&lt;D xsi:type="xsd:double"&gt;0.01996875&lt;/D&gt;&lt;D xsi:type="xsd:double"&gt;-0.011296391000000001&lt;/D&gt;&lt;D xsi:type="xsd:double"&gt;0.010198593&lt;/D&gt;&lt;D xsi:type="xsd:double"&gt;0.03084266&lt;/D&gt;&lt;D xsi:type="xsd:double"&gt;0.0127722&lt;/D&gt;&lt;D xsi:type="xsd:double"&gt;0.05926526&lt;/D&gt;&lt;D xsi:type="xsd:double"&gt;0.013527513000000001&lt;/D&gt;&lt;D xsi:type="xsd:double"&gt;-0.0080266&lt;/D&gt;&lt;D xsi:type="xsd:double"&gt;0.03405607&lt;/D&gt;&lt;D xsi:type="xsd:double"&gt;0.002488136&lt;/D&gt;&lt;D xsi:type="xsd:double"&gt;0.03843606&lt;/D&gt;&lt;D xsi:type="xsd:double"&gt;0.05507338&lt;/D&gt;&lt;D xsi:type="xsd:double"&gt;-0.006074727&lt;/D&gt;&lt;D xsi:type="xsd:double"&gt;-0.05394042&lt;/D&gt;&lt;D xsi:type="xsd:double"&gt;0.04548383&lt;/D&gt;&lt;D xsi:type="xsd:double"&gt;-0.031992440000000004&lt;/D&gt;&lt;D xsi:type="xsd:double"&gt;-0.01685607&lt;/D&gt;&lt;D xsi:type="xsd:double"&gt;-0.03143263&lt;/D&gt;&lt;D xsi:type="xsd:double"&gt;-0.02495736&lt;/D&gt;&lt;D xsi:type="xsd:double"&gt;0.03835011&lt;/D&gt;&lt;D xsi:type="xsd:double"&gt;-0.06257474&lt;/D&gt;&lt;D xsi:type="xsd:double"&gt;-0.006076932&lt;/D&gt;&lt;D xsi:type="xsd:double"&gt;0.04409981&lt;/D&gt;&lt;D xsi:type="xsd:double"&gt;-0.0013006930000000001&lt;/D&gt;&lt;D xsi:type="xsd:double"&gt;-0.07344323&lt;/D&gt;&lt;D xsi:type="xsd:double"&gt;-0.08134788&lt;/D&gt;&lt;D xsi:type="xsd:double"&gt;0.066251999999999991&lt;/D&gt;&lt;D xsi:type="xsd:double"&gt;0.081751230000000008&lt;/D&gt;&lt;D xsi:type="xsd:double"&gt;-0.0094094280000000009&lt;/D&gt;&lt;D xsi:type="xsd:double"&gt;-0.008152068&lt;/D&gt;&lt;D xsi:type="xsd:double"&gt;-0.03798932&lt;/D&gt;&lt;D xsi:type="xsd:double"&gt;0.04942596&lt;/D&gt;&lt;D xsi:type="xsd:double"&gt;0.006109238&lt;/D&gt;&lt;D xsi:type="xsd:double"&gt;0.028192520000000002&lt;/D&gt;&lt;D xsi:type="xsd:double"&gt;-0.002685189&lt;/D&gt;&lt;D xsi:type="xsd:double"&gt;0.11770784000000001&lt;/D&gt;&lt;D xsi:type="xsd:double"&gt;0.007997394&lt;/D&gt;&lt;D xsi:type="xsd:double"&gt;0.01572096&lt;/D&gt;&lt;D xsi:type="xsd:double"&gt;0.026844&lt;/D&gt;&lt;/FQL&gt;&lt;FQL&gt;&lt;Q&gt;IYK^P_TOTAL_RETURNC(-5AY,0M,M)/100&lt;/Q&gt;&lt;R&gt;60&lt;/R&gt;&lt;C&gt;1&lt;/C&gt;&lt;D xsi:type="xsd:double"&gt;0.03024578&lt;/D&gt;&lt;D xsi:type="xsd:double"&gt;-0.0021587&lt;/D&gt;&lt;D xsi:type="xsd:double"&gt;-0.03488374&lt;/D&gt;&lt;D xsi:type="xsd:double"&gt;0.011288047&lt;/D&gt;&lt;D xsi:type="xsd:double"&gt;0.02033424&lt;/D&gt;&lt;D xsi:type="xsd:double"&gt;0.010237455000000001&lt;/D&gt;&lt;D xsi:type="xsd:double"&gt;0.012521386&lt;/D&gt;&lt;D xsi:type="xsd:double"&gt;-0.00295341&lt;/D&gt;&lt;D xsi:type="xsd:double"&gt;0.029487&lt;/D&gt;&lt;D xsi:type="xsd:double"&gt;-0.0122118&lt;/D&gt;&lt;D xsi:type="xsd:double"&gt;0.06120825&lt;/D&gt;&lt;D xsi:type="xsd:double"&gt;0.02802205&lt;/D&gt;&lt;D xsi:type="xsd:double"&gt;0.04347932&lt;/D&gt;&lt;D xsi:type="xsd:double"&gt;0.0289309&lt;/D&gt;&lt;D xsi:type="xsd:double"&gt;-0.0027431250000000003&lt;/D&gt;&lt;D xsi:type="xsd:double"&gt;-0.00075984&lt;/D&gt;&lt;D xsi:type="xsd:double"&gt;0.04256248&lt;/D&gt;&lt;D xsi:type="xsd:double"&gt;-0.03341687&lt;/D&gt;&lt;D xsi:type="xsd:double"&gt;0.026555660000000002&lt;/D&gt;&lt;D xsi:type="xsd:double"&gt;0.04703248&lt;/D&gt;&lt;D xsi:type="xsd:double"&gt;0.02042782&lt;/D&gt;&lt;D xsi:type="xsd:double"&gt;0.0090967420000000014&lt;/D&gt;&lt;D xsi:type="xsd:double"&gt;-0.05515986&lt;/D&gt;&lt;D xsi:type="xsd:double"&gt;0.04268026&lt;/D&gt;&lt;D xsi:type="xsd:double"&gt;0.013979077000000001&lt;/D&gt;&lt;D xsi:type="xsd:double"&gt;0.01669812&lt;/D&gt;&lt;D xsi:type="xsd:double"&gt;0.02189863&lt;/D&gt;&lt;D xsi:type="xsd:double"&gt;0.00855732&lt;/D&gt;&lt;D xsi:type="xsd:double"&gt;-0.037257&lt;/D&gt;&lt;D xsi:type="xsd:double"&gt;0.05233765&lt;/D&gt;&lt;D xsi:type="xsd:double"&gt;-0.013431609&lt;/D&gt;&lt;D xsi:type="xsd:double"&gt;0.03400445&lt;/D&gt;&lt;D xsi:type="xsd:double"&gt;0.04837918&lt;/D&gt;&lt;D xsi:type="xsd:double"&gt;-0.016468&lt;/D&gt;&lt;D xsi:type="xsd:double"&gt;-0.0211913&lt;/D&gt;&lt;D xsi:type="xsd:double"&gt;0.05207717&lt;/D&gt;&lt;D xsi:type="xsd:double"&gt;-0.01736742&lt;/D&gt;&lt;D xsi:type="xsd:double"&gt;-0.0041686890000000006&lt;/D&gt;&lt;D xsi:type="xsd:double"&gt;0.0134145&lt;/D&gt;&lt;D xsi:type="xsd:double"&gt;-0.010014713000000002&lt;/D&gt;&lt;D xsi:type="xsd:double"&gt;0.03327394&lt;/D&gt;&lt;D xsi:type="xsd:double"&gt;-0.049271050000000004&lt;/D&gt;&lt;D xsi:type="xsd:double"&gt;0.0013112999999999998&lt;/D&gt;&lt;D xsi:type="xsd:double"&gt;0.06739771&lt;/D&gt;&lt;D xsi:type="xsd:double"&gt;-0.0076245070000000009&lt;/D&gt;&lt;D xsi:type="xsd:double"&gt;0.003951073&lt;/D&gt;&lt;D xsi:type="xsd:double"&gt;-0.01965034&lt;/D&gt;&lt;D xsi:type="xsd:double"&gt;0.0064910650000000007&lt;/D&gt;&lt;D xsi:type="xsd:double"&gt;0.05741441&lt;/D&gt;&lt;D xsi:type="xsd:double"&gt;-0.005064845&lt;/D&gt;&lt;D xsi:type="xsd:double"&gt;0.004912019&lt;/D&gt;&lt;D xsi:type="xsd:double"&gt;0.03106642&lt;/D&gt;&lt;D xsi:type="xsd:double"&gt;0.013697505&lt;/D&gt;&lt;D xsi:type="xsd:double"&gt;-0.0034208890000000003&lt;/D&gt;&lt;D xsi:type="xsd:double"&gt;-0.01659244&lt;/D&gt;&lt;D xsi:type="xsd:double"&gt;-0.01641792&lt;/D&gt;&lt;D xsi:type="xsd:double"&gt;-0.02963489&lt;/D&gt;&lt;D xsi:type="xsd:double"&gt;0.02740812&lt;/D&gt;&lt;D xsi:type="xsd:double"&gt;0.027727599999999998&lt;/D&gt;&lt;D xsi:type="xsd:double"&gt;0.043299080000000004&lt;/D&gt;&lt;/FQL&gt;&lt;FQL&gt;&lt;Q&gt;IYE^P_TOTAL_RETURNC(-5AY,0M,M)/100&lt;/Q&gt;&lt;R&gt;60&lt;/R&gt;&lt;C&gt;1&lt;/C&gt;&lt;D xsi:type="xsd:double"&gt;-0.0344249&lt;/D&gt;&lt;D xsi:type="xsd:double"&gt;-0.011560678000000001&lt;/D&gt;&lt;D xsi:type="xsd:double"&gt;-0.10696882&lt;/D&gt;&lt;D xsi:type="xsd:double"&gt;0.05111718&lt;/D&gt;&lt;D xsi:type="xsd:double"&gt;0.04329681&lt;/D&gt;&lt;D xsi:type="xsd:double"&gt;0.025249960000000002&lt;/D&gt;&lt;D xsi:type="xsd:double"&gt;0.03259945&lt;/D&gt;&lt;D xsi:type="xsd:double"&gt;-0.02441913&lt;/D&gt;&lt;D xsi:type="xsd:double"&gt;-0.012150645000000002&lt;/D&gt;&lt;D xsi:type="xsd:double"&gt;0.0091507430000000011&lt;/D&gt;&lt;D xsi:type="xsd:double"&gt;0.08374143&lt;/D&gt;&lt;D xsi:type="xsd:double"&gt;0.0015816690000000002&lt;/D&gt;&lt;D xsi:type="xsd:double"&gt;0.022413&lt;/D&gt;&lt;D xsi:type="xsd:double"&gt;-0.010414362&lt;/D&gt;&lt;D xsi:type="xsd:double"&gt;0.02619803&lt;/D&gt;&lt;D xsi:type="xsd:double"&gt;-0.02387094&lt;/D&gt;&lt;D xsi:type="xsd:double"&gt;0.05412078&lt;/D&gt;&lt;D xsi:type="xsd:double"&gt;-0.01619083&lt;/D&gt;&lt;D xsi:type="xsd:double"&gt;0.0238961&lt;/D&gt;&lt;D xsi:type="xsd:double"&gt;0.04246283&lt;/D&gt;&lt;D xsi:type="xsd:double"&gt;-0.003665984&lt;/D&gt;&lt;D xsi:type="xsd:double"&gt;0.03611577&lt;/D&gt;&lt;D xsi:type="xsd:double"&gt;-0.062388599999999995&lt;/D&gt;&lt;D xsi:type="xsd:double"&gt;0.05449927&lt;/D&gt;&lt;D xsi:type="xsd:double"&gt;0.024691460000000002&lt;/D&gt;&lt;D xsi:type="xsd:double"&gt;0.049431199999999995&lt;/D&gt;&lt;D xsi:type="xsd:double"&gt;0.012897134000000001&lt;/D&gt;&lt;D xsi:type="xsd:double"&gt;0.05324888&lt;/D&gt;&lt;D xsi:type="xsd:double"&gt;-0.03573942&lt;/D&gt;&lt;D xsi:type="xsd:double"&gt;0.02483118&lt;/D&gt;&lt;D xsi:type="xsd:double"&gt;-0.07725412&lt;/D&gt;&lt;D xsi:type="xsd:double"&gt;-0.03725266&lt;/D&gt;&lt;D xsi:type="xsd:double"&gt;-0.09189838&lt;/D&gt;&lt;D xsi:type="xsd:double"&gt;-0.0007649064&lt;/D&gt;&lt;D xsi:type="xsd:double"&gt;-0.04664135&lt;/D&gt;&lt;D xsi:type="xsd:double"&gt;0.04611421&lt;/D&gt;&lt;D xsi:type="xsd:double"&gt;-0.0184238&lt;/D&gt;&lt;D xsi:type="xsd:double"&gt;0.068578&lt;/D&gt;&lt;D xsi:type="xsd:double"&gt;-0.048937499999999995&lt;/D&gt;&lt;D xsi:type="xsd:double"&gt;-0.03612906&lt;/D&gt;&lt;D xsi:type="xsd:double"&gt;-0.08235019&lt;/D&gt;&lt;D xsi:type="xsd:double"&gt;-0.040113090000000004&lt;/D&gt;&lt;D xsi:type="xsd:double"&gt;-0.0731855&lt;/D&gt;&lt;D xsi:type="xsd:double"&gt;0.11625873&lt;/D&gt;&lt;D xsi:type="xsd:double"&gt;-0.004437506&lt;/D&gt;&lt;D xsi:type="xsd:double"&gt;-0.1054576&lt;/D&gt;&lt;D xsi:type="xsd:double"&gt;-0.03632605&lt;/D&gt;&lt;D xsi:type="xsd:double"&gt;-0.022678550000000002&lt;/D&gt;&lt;D xsi:type="xsd:double"&gt;0.097966560000000008&lt;/D&gt;&lt;D xsi:type="xsd:double"&gt;0.09085679&lt;/D&gt;&lt;D xsi:type="xsd:double"&gt;-0.012651563000000001&lt;/D&gt;&lt;D xsi:type="xsd:double"&gt;0.03021097&lt;/D&gt;&lt;D xsi:type="xsd:double"&gt;-0.02163714&lt;/D&gt;&lt;D xsi:type="xsd:double"&gt;0.011990428000000001&lt;/D&gt;&lt;D xsi:type="xsd:double"&gt;0.03276825&lt;/D&gt;&lt;D xsi:type="xsd:double"&gt;-0.035384650000000004&lt;/D&gt;&lt;D xsi:type="xsd:double"&gt;0.09170651&lt;/D&gt;&lt;D xsi:type="xsd:double"&gt;0.01626897&lt;/D&gt;&lt;D xsi:type="xsd:double"&gt;-0.03370249&lt;/D&gt;&lt;D xsi:type="xsd:double"&gt;-0.023916240000000002&lt;/D&gt;&lt;/FQL&gt;&lt;FQL&gt;&lt;Q&gt;IYF^P_TOTAL_RETURNC(-5AY,0M,M)/100&lt;/Q&gt;&lt;R&gt;60&lt;/R&gt;&lt;C&gt;1&lt;/C&gt;&lt;D xsi:type="xsd:double"&gt;0.06560564&lt;/D&gt;&lt;D xsi:type="xsd:double"&gt;-0.012987077000000001&lt;/D&gt;&lt;D xsi:type="xsd:double"&gt;-0.08344878&lt;/D&gt;&lt;D xsi:type="xsd:double"&gt;0.04887509&lt;/D&gt;&lt;D xsi:type="xsd:double"&gt;0.0014471999999999998&lt;/D&gt;&lt;D xsi:type="xsd:double"&gt;0.02854037&lt;/D&gt;&lt;D xsi:type="xsd:double"&gt;0.02825975&lt;/D&gt;&lt;D xsi:type="xsd:double"&gt;0.0123477&lt;/D&gt;&lt;D xsi:type="xsd:double"&gt;-0.0023716690000000003&lt;/D&gt;&lt;D xsi:type="xsd:double"&gt;0.03673971&lt;/D&gt;&lt;D xsi:type="xsd:double"&gt;0.063262&lt;/D&gt;&lt;D xsi:type="xsd:double"&gt;0.013480067&lt;/D&gt;&lt;D xsi:type="xsd:double"&gt;0.0404104&lt;/D&gt;&lt;D xsi:type="xsd:double"&gt;0.0244621&lt;/D&gt;&lt;D xsi:type="xsd:double"&gt;0.04502308&lt;/D&gt;&lt;D xsi:type="xsd:double"&gt;-0.012227118&lt;/D&gt;&lt;D xsi:type="xsd:double"&gt;0.0482316&lt;/D&gt;&lt;D xsi:type="xsd:double"&gt;-0.04961324&lt;/D&gt;&lt;D xsi:type="xsd:double"&gt;0.03182352&lt;/D&gt;&lt;D xsi:type="xsd:double"&gt;0.0364356&lt;/D&gt;&lt;D xsi:type="xsd:double"&gt;0.035944699999999996&lt;/D&gt;&lt;D xsi:type="xsd:double"&gt;0.02389252&lt;/D&gt;&lt;D xsi:type="xsd:double"&gt;-0.03542918&lt;/D&gt;&lt;D xsi:type="xsd:double"&gt;0.035825130000000004&lt;/D&gt;&lt;D xsi:type="xsd:double"&gt;0.02423358&lt;/D&gt;&lt;D xsi:type="xsd:double"&gt;-0.01724565&lt;/D&gt;&lt;D xsi:type="xsd:double"&gt;0.015059114&lt;/D&gt;&lt;D xsi:type="xsd:double"&gt;0.02320921&lt;/D&gt;&lt;D xsi:type="xsd:double"&gt;-0.01611733&lt;/D&gt;&lt;D xsi:type="xsd:double"&gt;0.03973103&lt;/D&gt;&lt;D xsi:type="xsd:double"&gt;-0.011974931000000001&lt;/D&gt;&lt;D xsi:type="xsd:double"&gt;0.03989482&lt;/D&gt;&lt;D xsi:type="xsd:double"&gt;0.02343214&lt;/D&gt;&lt;D xsi:type="xsd:double"&gt;0.01618743&lt;/D&gt;&lt;D xsi:type="xsd:double"&gt;-0.055543180000000004&lt;/D&gt;&lt;D xsi:type="xsd:double"&gt;0.052470920000000004&lt;/D&gt;&lt;D xsi:type="xsd:double"&gt;-0.003006697&lt;/D&gt;&lt;D xsi:type="xsd:double"&gt;-0.0034812690000000004&lt;/D&gt;&lt;D xsi:type="xsd:double"&gt;0.01915717&lt;/D&gt;&lt;D xsi:type="xsd:double"&gt;-0.004798114&lt;/D&gt;&lt;D xsi:type="xsd:double"&gt;0.034767150000000004&lt;/D&gt;&lt;D xsi:type="xsd:double"&gt;-0.06601334&lt;/D&gt;&lt;D xsi:type="xsd:double"&gt;-0.02622652&lt;/D&gt;&lt;D xsi:type="xsd:double"&gt;0.06265604&lt;/D&gt;&lt;D xsi:type="xsd:double"&gt;0.018684390000000002&lt;/D&gt;&lt;D xsi:type="xsd:double"&gt;-0.02381492&lt;/D&gt;&lt;D xsi:type="xsd:double"&gt;-0.08169264&lt;/D&gt;&lt;D xsi:type="xsd:double"&gt;-0.025505240000000002&lt;/D&gt;&lt;D xsi:type="xsd:double"&gt;0.07477677&lt;/D&gt;&lt;D xsi:type="xsd:double"&gt;0.02706861&lt;/D&gt;&lt;D xsi:type="xsd:double"&gt;0.02267241&lt;/D&gt;&lt;D xsi:type="xsd:double"&gt;-0.02888817&lt;/D&gt;&lt;D xsi:type="xsd:double"&gt;0.03839886&lt;/D&gt;&lt;D xsi:type="xsd:double"&gt;0.03227258&lt;/D&gt;&lt;D xsi:type="xsd:double"&gt;-0.01908726&lt;/D&gt;&lt;D xsi:type="xsd:double"&gt;0.0031111240000000003&lt;/D&gt;&lt;D xsi:type="xsd:double"&gt;0.08817016&lt;/D&gt;&lt;D xsi:type="xsd:double"&gt;0.0386802&lt;/D&gt;&lt;D xsi:type="xsd:double"&gt;0.00473094&lt;/D&gt;&lt;D xsi:type="xsd:double"&gt;0.04787123&lt;/D&gt;&lt;/FQL&gt;&lt;FQL&gt;&lt;Q&gt;IYH^P_TOTAL_RETURNC(-5AY,0M,M)/100&lt;/Q&gt;&lt;R&gt;60&lt;/R&gt;&lt;C&gt;1&lt;/C&gt;&lt;D xsi:type="xsd:double"&gt;0.04261637&lt;/D&gt;&lt;D xsi:type="xsd:double"&gt;-0.001918077&lt;/D&gt;&lt;D xsi:type="xsd:double"&gt;-0.03408074&lt;/D&gt;&lt;D xsi:type="xsd:double"&gt;0.05889118&lt;/D&gt;&lt;D xsi:type="xsd:double"&gt;0.010314465&lt;/D&gt;&lt;D xsi:type="xsd:double"&gt;0.01668334&lt;/D&gt;&lt;D xsi:type="xsd:double"&gt;0.04027736&lt;/D&gt;&lt;D xsi:type="xsd:double"&gt;-0.013240278000000001&lt;/D&gt;&lt;D xsi:type="xsd:double"&gt;0.00850606&lt;/D&gt;&lt;D xsi:type="xsd:double"&gt;-0.0034259560000000004&lt;/D&gt;&lt;D xsi:type="xsd:double"&gt;0.07496107&lt;/D&gt;&lt;D xsi:type="xsd:double"&gt;0.012921929&lt;/D&gt;&lt;D xsi:type="xsd:double"&gt;0.06371939&lt;/D&gt;&lt;D xsi:type="xsd:double"&gt;0.03329182&lt;/D&gt;&lt;D xsi:type="xsd:double"&gt;0.01595914&lt;/D&gt;&lt;D xsi:type="xsd:double"&gt;-0.006800294&lt;/D&gt;&lt;D xsi:type="xsd:double"&gt;0.07505739&lt;/D&gt;&lt;D xsi:type="xsd:double"&gt;-0.03518707&lt;/D&gt;&lt;D xsi:type="xsd:double"&gt;0.03167593&lt;/D&gt;&lt;D xsi:type="xsd:double"&gt;0.037504670000000004&lt;/D&gt;&lt;D xsi:type="xsd:double"&gt;0.04669607&lt;/D&gt;&lt;D xsi:type="xsd:double"&gt;0.006467581&lt;/D&gt;&lt;D xsi:type="xsd:double"&gt;0.014936924&lt;/D&gt;&lt;D xsi:type="xsd:double"&gt;0.06157494&lt;/D&gt;&lt;D xsi:type="xsd:double"&gt;-0.01741135&lt;/D&gt;&lt;D xsi:type="xsd:double"&gt;-0.008209407&lt;/D&gt;&lt;D xsi:type="xsd:double"&gt;0.02704477&lt;/D&gt;&lt;D xsi:type="xsd:double"&gt;0.02653182&lt;/D&gt;&lt;D xsi:type="xsd:double"&gt;-0.002105951&lt;/D&gt;&lt;D xsi:type="xsd:double"&gt;0.05205572&lt;/D&gt;&lt;D xsi:type="xsd:double"&gt;0.0007573366&lt;/D&gt;&lt;D xsi:type="xsd:double"&gt;0.05545211&lt;/D&gt;&lt;D xsi:type="xsd:double"&gt;0.03208745&lt;/D&gt;&lt;D xsi:type="xsd:double"&gt;-0.012270749000000001&lt;/D&gt;&lt;D xsi:type="xsd:double"&gt;0.01790047&lt;/D&gt;&lt;D xsi:type="xsd:double"&gt;0.042941810000000004&lt;/D&gt;&lt;D xsi:type="xsd:double"&gt;0.010554075000000001&lt;/D&gt;&lt;D xsi:type="xsd:double"&gt;-0.017496170000000002&lt;/D&gt;&lt;D xsi:type="xsd:double"&gt;0.05019128&lt;/D&gt;&lt;D xsi:type="xsd:double"&gt;-0.00063216690000000007&lt;/D&gt;&lt;D xsi:type="xsd:double"&gt;0.028036830000000002&lt;/D&gt;&lt;D xsi:type="xsd:double"&gt;-0.07912000000000001&lt;/D&gt;&lt;D xsi:type="xsd:double"&gt;-0.06577396&lt;/D&gt;&lt;D xsi:type="xsd:double"&gt;0.07225561&lt;/D&gt;&lt;D xsi:type="xsd:double"&gt;-0.0007998347&lt;/D&gt;&lt;D xsi:type="xsd:double"&gt;0.012871027&lt;/D&gt;&lt;D xsi:type="xsd:double"&gt;-0.086260860000000009&lt;/D&gt;&lt;D xsi:type="xsd:double"&gt;-0.002626419&lt;/D&gt;&lt;D xsi:type="xsd:double"&gt;0.03083336&lt;/D&gt;&lt;D xsi:type="xsd:double"&gt;0.02952683&lt;/D&gt;&lt;D xsi:type="xsd:double"&gt;0.02301311&lt;/D&gt;&lt;D xsi:type="xsd:double"&gt;0.005252004&lt;/D&gt;&lt;D xsi:type="xsd:double"&gt;0.05239034&lt;/D&gt;&lt;D xsi:type="xsd:double"&gt;-0.03325218&lt;/D&gt;&lt;D xsi:type="xsd:double"&gt;-0.001315951&lt;/D&gt;&lt;D xsi:type="xsd:double"&gt;-0.065242&lt;/D&gt;&lt;D xsi:type="xsd:double"&gt;0.02328885&lt;/D&gt;&lt;D xsi:type="xsd:double"&gt;0.006700873&lt;/D&gt;&lt;D xsi:type="xsd:double"&gt;0.02365911&lt;/D&gt;&lt;D xsi:type="xsd:double"&gt;0.0639149&lt;/D&gt;&lt;/FQL&gt;&lt;/Schema&gt;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<sst xmlns="http://schemas.openxmlformats.org/spreadsheetml/2006/main" count="48" uniqueCount="29">
  <si>
    <t>This sheet contains FactSet XML data for use with this workbook's =FDS codes.  Modifying the worksheet's contents may damage the workbook's =FDS functionality.</t>
  </si>
  <si>
    <t>Financial Select Sector SPDR Fund</t>
  </si>
  <si>
    <t>VanEck Vectors Gold Miners ETF</t>
  </si>
  <si>
    <t>iShares U.S. Real Estate ETF</t>
  </si>
  <si>
    <t>VanEck Vectors Semiconductor ETF</t>
  </si>
  <si>
    <t>SPDR Gold Trust</t>
  </si>
  <si>
    <t>Date</t>
  </si>
  <si>
    <t>XLF</t>
  </si>
  <si>
    <t>GDX</t>
  </si>
  <si>
    <t>IYR</t>
  </si>
  <si>
    <t>SMH</t>
  </si>
  <si>
    <t>GLD</t>
  </si>
  <si>
    <t>Avg Return</t>
  </si>
  <si>
    <t>Std Deviation</t>
  </si>
  <si>
    <t>sum</t>
  </si>
  <si>
    <t>Std Dev</t>
  </si>
  <si>
    <t>Exp. Return</t>
  </si>
  <si>
    <t>IWR</t>
  </si>
  <si>
    <t>Min Var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</si>
  <si>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</si>
  <si>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</si>
  <si>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</si>
  <si>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</si>
  <si>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</si>
  <si>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</si>
  <si>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</si>
  <si>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</si>
  <si>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</si>
  <si>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Max 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</si>
</sst>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Times New Roman"/>
      <scheme val="minor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  <scheme val="minor"/>
    </font>
    <font>
      <sz val="11"/>
      <color rgb="FF000000"/>
      <name val="Times New Roman"/>
      <family val="1"/>
    </font>
    <font>
      <sz val="10"/>
      <color rgb="FF000000"/>
      <name val="Verdana"/>
      <family val="2"/>
    </font>
    <font>
      <sz val="11"/>
      <color rgb="FF000000"/>
      <name val="Times New Roman"/>
      <family val="1"/>
      <scheme val="minor"/>
    </font>
    <font>
      <i/>
      <sz val="11"/>
      <color rgb="FF000000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17" fontId="4" fillId="0" borderId="0" xfId="0" applyNumberFormat="1" applyFont="1"/>
    <xf numFmtId="10" fontId="5" fillId="0" borderId="0" xfId="0" applyNumberFormat="1" applyFont="1"/>
    <xf numFmtId="0" fontId="4" fillId="0" borderId="5" xfId="0" applyFont="1" applyBorder="1"/>
    <xf numFmtId="0" fontId="4" fillId="0" borderId="4" xfId="0" applyFont="1" applyBorder="1"/>
    <xf numFmtId="0" fontId="4" fillId="3" borderId="4" xfId="0" applyFont="1" applyFill="1" applyBorder="1" applyAlignment="1">
      <alignment horizontal="left"/>
    </xf>
    <xf numFmtId="0" fontId="2" fillId="0" borderId="0" xfId="0" applyFont="1"/>
    <xf numFmtId="9" fontId="4" fillId="0" borderId="4" xfId="1" applyFont="1" applyBorder="1"/>
    <xf numFmtId="10" fontId="4" fillId="0" borderId="4" xfId="0" applyNumberFormat="1" applyFont="1" applyBorder="1"/>
    <xf numFmtId="0" fontId="6" fillId="0" borderId="0" xfId="0" applyFont="1"/>
    <xf numFmtId="10" fontId="4" fillId="0" borderId="4" xfId="1" applyNumberFormat="1" applyFont="1" applyBorder="1"/>
    <xf numFmtId="0" fontId="4" fillId="3" borderId="4" xfId="0" applyFont="1" applyFill="1" applyBorder="1" applyAlignment="1">
      <alignment horizontal="left" wrapText="1"/>
    </xf>
    <xf numFmtId="0" fontId="3" fillId="0" borderId="0" xfId="0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8.6640625" customWidth="1"/>
  </cols>
  <sheetData>
    <row r="1" spans="1:2" ht="16" x14ac:dyDescent="0.2">
      <c r="A1" s="1"/>
      <c r="B1" s="1" t="s">
        <v>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abSelected="1" topLeftCell="F1" zoomScale="108" zoomScaleNormal="108" workbookViewId="0">
      <selection activeCell="V38" sqref="V38"/>
    </sheetView>
  </sheetViews>
  <sheetFormatPr baseColWidth="10" defaultColWidth="12.6640625" defaultRowHeight="15" customHeight="1" x14ac:dyDescent="0.15"/>
  <cols>
    <col min="1" max="1" width="14.6640625" customWidth="1"/>
    <col min="2" max="6" width="16.6640625" customWidth="1"/>
    <col min="7" max="7" width="8.6640625" customWidth="1"/>
    <col min="8" max="8" width="16.1640625" customWidth="1"/>
    <col min="9" max="9" width="15.83203125" customWidth="1"/>
    <col min="10" max="20" width="8.6640625" customWidth="1"/>
    <col min="21" max="21" width="10.33203125" customWidth="1"/>
    <col min="22" max="22" width="8.6640625" customWidth="1"/>
  </cols>
  <sheetData>
    <row r="1" spans="1:22" ht="46.5" customHeight="1" x14ac:dyDescent="0.1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O1" s="17"/>
      <c r="P1" s="18"/>
      <c r="Q1" s="18"/>
      <c r="R1" s="18"/>
      <c r="S1" s="18"/>
      <c r="T1" s="18"/>
      <c r="U1" s="18"/>
    </row>
    <row r="2" spans="1:22" thickBo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I2" s="4" t="s">
        <v>7</v>
      </c>
      <c r="J2" s="5" t="s">
        <v>8</v>
      </c>
      <c r="K2" s="5" t="s">
        <v>9</v>
      </c>
      <c r="L2" s="5" t="s">
        <v>10</v>
      </c>
      <c r="M2" s="5" t="s">
        <v>11</v>
      </c>
      <c r="O2" s="19"/>
      <c r="P2" s="19"/>
      <c r="Q2" s="19"/>
      <c r="R2" s="19"/>
      <c r="S2" s="19"/>
      <c r="T2" s="19"/>
      <c r="U2" s="21"/>
    </row>
    <row r="3" spans="1:22" ht="14" x14ac:dyDescent="0.15">
      <c r="A3" s="6">
        <v>41880</v>
      </c>
      <c r="B3" s="7">
        <v>4.24E-2</v>
      </c>
      <c r="C3" s="7">
        <v>3.0099999999999998E-2</v>
      </c>
      <c r="D3" s="7">
        <v>3.4700000000000002E-2</v>
      </c>
      <c r="E3" s="7">
        <v>5.9899999999999801E-2</v>
      </c>
      <c r="F3" s="7">
        <v>3.8000000000000299E-3</v>
      </c>
      <c r="H3" s="8" t="s">
        <v>12</v>
      </c>
      <c r="I3" s="13">
        <f>AVERAGE(B3:B62)</f>
        <v>9.985995705274987E-3</v>
      </c>
      <c r="J3" s="13">
        <f t="shared" ref="J3:M3" si="0">AVERAGE(C3:C62)</f>
        <v>6.7100906361078514E-3</v>
      </c>
      <c r="K3" s="13">
        <f t="shared" si="0"/>
        <v>7.58704357592206E-3</v>
      </c>
      <c r="L3" s="13">
        <f t="shared" si="0"/>
        <v>1.7754421726933679E-2</v>
      </c>
      <c r="M3" s="13">
        <f t="shared" si="0"/>
        <v>2.0218708454029805E-3</v>
      </c>
      <c r="O3" s="18"/>
      <c r="P3" s="18"/>
      <c r="Q3" s="18"/>
      <c r="R3" s="18"/>
      <c r="S3" s="18"/>
      <c r="T3" s="20"/>
      <c r="U3" s="18"/>
    </row>
    <row r="4" spans="1:22" ht="14" x14ac:dyDescent="0.15">
      <c r="A4" s="6">
        <v>41912</v>
      </c>
      <c r="B4" s="7">
        <v>-4.0291634689179102E-3</v>
      </c>
      <c r="C4" s="7">
        <v>-0.199786428502087</v>
      </c>
      <c r="D4" s="7">
        <v>-5.8857639895622003E-2</v>
      </c>
      <c r="E4" s="7">
        <v>-1.1416171336918499E-2</v>
      </c>
      <c r="F4" s="7">
        <v>-6.1765291890814797E-2</v>
      </c>
      <c r="H4" s="9" t="s">
        <v>13</v>
      </c>
      <c r="I4" s="9">
        <f>STDEV(B3:B62)</f>
        <v>4.6319420199596124E-2</v>
      </c>
      <c r="J4" s="9">
        <f t="shared" ref="J4:M4" si="1">STDEV(C3:C62)</f>
        <v>0.11050996480033952</v>
      </c>
      <c r="K4" s="9">
        <f t="shared" si="1"/>
        <v>3.9243080264541243E-2</v>
      </c>
      <c r="L4" s="9">
        <f t="shared" si="1"/>
        <v>6.0396694839986949E-2</v>
      </c>
      <c r="M4" s="9">
        <f t="shared" si="1"/>
        <v>3.9113469985219279E-2</v>
      </c>
      <c r="O4" s="18"/>
      <c r="P4" s="18"/>
      <c r="Q4" s="18"/>
      <c r="R4" s="18"/>
      <c r="S4" s="20"/>
      <c r="T4" s="18"/>
      <c r="U4" s="18"/>
    </row>
    <row r="5" spans="1:22" ht="14" x14ac:dyDescent="0.15">
      <c r="A5" s="6">
        <v>41943</v>
      </c>
      <c r="B5" s="7">
        <v>2.88961664419187E-2</v>
      </c>
      <c r="C5" s="7">
        <v>-0.194225403372559</v>
      </c>
      <c r="D5" s="7">
        <v>8.3487369069624298E-2</v>
      </c>
      <c r="E5" s="7">
        <v>6.4897881275052301E-3</v>
      </c>
      <c r="F5" s="7">
        <v>-3.0579740921639498E-2</v>
      </c>
      <c r="O5" s="18"/>
      <c r="P5" s="18"/>
      <c r="Q5" s="18"/>
      <c r="R5" s="18"/>
      <c r="S5" s="18"/>
      <c r="T5" s="18"/>
      <c r="U5" s="18"/>
    </row>
    <row r="6" spans="1:22" ht="14" x14ac:dyDescent="0.15">
      <c r="A6" s="6">
        <v>41971</v>
      </c>
      <c r="B6" s="7">
        <v>2.34974723834489E-2</v>
      </c>
      <c r="C6" s="7">
        <v>6.6847335140018102E-2</v>
      </c>
      <c r="D6" s="7">
        <v>2.7201213155151099E-2</v>
      </c>
      <c r="E6" s="7">
        <v>8.0314811302863803E-2</v>
      </c>
      <c r="F6" s="7">
        <v>-4.8192771084336599E-3</v>
      </c>
      <c r="I6" s="14" t="s">
        <v>7</v>
      </c>
      <c r="J6" s="14" t="s">
        <v>8</v>
      </c>
      <c r="K6" s="14" t="s">
        <v>9</v>
      </c>
      <c r="L6" s="14" t="s">
        <v>10</v>
      </c>
      <c r="M6" s="14" t="s">
        <v>11</v>
      </c>
      <c r="O6" s="18"/>
      <c r="P6" s="18"/>
      <c r="Q6" s="18"/>
      <c r="R6" s="18"/>
      <c r="S6" s="18"/>
      <c r="T6" s="18"/>
      <c r="U6" s="18"/>
    </row>
    <row r="7" spans="1:22" ht="14" x14ac:dyDescent="0.15">
      <c r="A7" s="6">
        <v>42004</v>
      </c>
      <c r="B7" s="7">
        <v>1.8750571663770099E-2</v>
      </c>
      <c r="C7" s="7">
        <v>8.0440304826418993E-3</v>
      </c>
      <c r="D7" s="7">
        <v>8.1195792581658707E-3</v>
      </c>
      <c r="E7" s="7">
        <v>-5.5297112261916102E-3</v>
      </c>
      <c r="F7" s="7">
        <v>1.3097072419106201E-2</v>
      </c>
      <c r="H7" s="14" t="s">
        <v>7</v>
      </c>
      <c r="I7" cm="1">
        <f t="array" ref="I7:M11">MMULT(TRANSPOSE(B3:F62-I3:M3), (B3:F62-I3:M3))/5</f>
        <v>2.5316766513995687E-2</v>
      </c>
      <c r="J7">
        <v>-1.5114149608370297E-2</v>
      </c>
      <c r="K7">
        <v>7.1296719249084222E-3</v>
      </c>
      <c r="L7">
        <v>1.98172958380993E-2</v>
      </c>
      <c r="M7">
        <v>-7.7943837313328174E-3</v>
      </c>
      <c r="O7" s="18"/>
      <c r="P7" s="18"/>
      <c r="Q7" s="18"/>
      <c r="R7" s="18"/>
      <c r="S7" s="18"/>
      <c r="T7" s="18"/>
      <c r="U7" s="18"/>
    </row>
    <row r="8" spans="1:22" ht="14" x14ac:dyDescent="0.15">
      <c r="A8" s="6">
        <v>42034</v>
      </c>
      <c r="B8" s="7">
        <v>-6.9581612497755393E-2</v>
      </c>
      <c r="C8" s="7">
        <v>0.212655746885062</v>
      </c>
      <c r="D8" s="7">
        <v>5.7111477210324099E-2</v>
      </c>
      <c r="E8" s="7">
        <v>-3.4598411297440401E-2</v>
      </c>
      <c r="F8" s="7">
        <v>8.6909288430201001E-2</v>
      </c>
      <c r="H8" s="14" t="s">
        <v>8</v>
      </c>
      <c r="I8">
        <v>-1.5114149608370297E-2</v>
      </c>
      <c r="J8">
        <v>0.14410693737803287</v>
      </c>
      <c r="K8">
        <v>5.3684953784537363E-3</v>
      </c>
      <c r="L8">
        <v>1.4843099306140468E-3</v>
      </c>
      <c r="M8">
        <v>4.3612358311889449E-2</v>
      </c>
      <c r="O8" s="18"/>
      <c r="P8" s="18"/>
      <c r="Q8" s="18"/>
      <c r="R8" s="18"/>
      <c r="S8" s="18"/>
      <c r="T8" s="18"/>
      <c r="U8" s="18"/>
    </row>
    <row r="9" spans="1:22" ht="14" x14ac:dyDescent="0.15">
      <c r="A9" s="6">
        <v>42062</v>
      </c>
      <c r="B9" s="7">
        <v>5.8284280613721998E-2</v>
      </c>
      <c r="C9" s="7">
        <v>-4.5255137381667102E-2</v>
      </c>
      <c r="D9" s="7">
        <v>-2.5974025974026E-2</v>
      </c>
      <c r="E9" s="7">
        <v>8.0362040592430101E-2</v>
      </c>
      <c r="F9" s="7">
        <v>-5.9070464767616099E-2</v>
      </c>
      <c r="H9" s="14" t="s">
        <v>17</v>
      </c>
      <c r="I9">
        <v>7.1296719249084222E-3</v>
      </c>
      <c r="J9">
        <v>5.3684953784537363E-3</v>
      </c>
      <c r="K9">
        <v>1.8172228314060877E-2</v>
      </c>
      <c r="L9">
        <v>9.4019750339665361E-3</v>
      </c>
      <c r="M9">
        <v>1.3013445213204305E-3</v>
      </c>
    </row>
    <row r="10" spans="1:22" ht="14" x14ac:dyDescent="0.15">
      <c r="A10" s="6">
        <v>42094</v>
      </c>
      <c r="B10" s="7">
        <v>-6.2916020789641801E-3</v>
      </c>
      <c r="C10" s="7">
        <v>-0.142805320435308</v>
      </c>
      <c r="D10" s="7">
        <v>1.09333333333335E-2</v>
      </c>
      <c r="E10" s="7">
        <v>-2.9279851062029402E-2</v>
      </c>
      <c r="F10" s="7">
        <v>-2.1563628638198402E-2</v>
      </c>
      <c r="H10" s="14" t="s">
        <v>10</v>
      </c>
      <c r="I10">
        <v>1.98172958380993E-2</v>
      </c>
      <c r="J10">
        <v>1.4843099306140468E-3</v>
      </c>
      <c r="K10">
        <v>9.4019750339665361E-3</v>
      </c>
      <c r="L10">
        <v>4.3043576821615179E-2</v>
      </c>
      <c r="M10">
        <v>-2.0649575361336671E-3</v>
      </c>
    </row>
    <row r="11" spans="1:22" ht="14" x14ac:dyDescent="0.15">
      <c r="A11" s="6">
        <v>42124</v>
      </c>
      <c r="B11" s="7">
        <v>8.2583960359694497E-4</v>
      </c>
      <c r="C11" s="7">
        <v>0.102412187896741</v>
      </c>
      <c r="D11" s="7">
        <v>-4.8184296139980702E-2</v>
      </c>
      <c r="E11" s="7">
        <v>2.8768198064685899E-3</v>
      </c>
      <c r="F11" s="7">
        <v>-1.6284876777766799E-3</v>
      </c>
      <c r="H11" s="14" t="s">
        <v>11</v>
      </c>
      <c r="I11">
        <v>-7.7943837313328174E-3</v>
      </c>
      <c r="J11">
        <v>4.3612358311889449E-2</v>
      </c>
      <c r="K11">
        <v>1.3013445213204305E-3</v>
      </c>
      <c r="L11">
        <v>-2.0649575361336671E-3</v>
      </c>
      <c r="M11">
        <v>1.8052389704558858E-2</v>
      </c>
    </row>
    <row r="12" spans="1:22" ht="14" x14ac:dyDescent="0.15">
      <c r="A12" s="6">
        <v>42153</v>
      </c>
      <c r="B12" s="7">
        <v>1.95287430090769E-2</v>
      </c>
      <c r="C12" s="7">
        <v>-2.6359564939219399E-2</v>
      </c>
      <c r="D12" s="7">
        <v>-3.3256351039261398E-3</v>
      </c>
      <c r="E12" s="7">
        <v>7.8407510431154306E-2</v>
      </c>
      <c r="F12" s="7">
        <v>5.5458895171813802E-3</v>
      </c>
    </row>
    <row r="13" spans="1:22" x14ac:dyDescent="0.15">
      <c r="A13" s="6">
        <v>42185</v>
      </c>
      <c r="B13" s="7">
        <v>-4.4964028776978103E-3</v>
      </c>
      <c r="C13" s="7">
        <v>-9.2916283348666195E-2</v>
      </c>
      <c r="D13" s="7">
        <v>-4.3933636110853602E-2</v>
      </c>
      <c r="E13" s="7">
        <v>-8.7618894083507995E-2</v>
      </c>
      <c r="F13" s="7">
        <v>-1.5140045420136399E-2</v>
      </c>
      <c r="H13" s="9"/>
      <c r="I13" s="16" t="s">
        <v>18</v>
      </c>
      <c r="J13" s="10" t="s">
        <v>19</v>
      </c>
      <c r="K13" s="10" t="s">
        <v>20</v>
      </c>
      <c r="L13" s="10" t="s">
        <v>21</v>
      </c>
      <c r="M13" s="10" t="s">
        <v>22</v>
      </c>
      <c r="N13" s="10" t="s">
        <v>23</v>
      </c>
      <c r="O13" s="10" t="s">
        <v>24</v>
      </c>
      <c r="P13" s="10" t="s">
        <v>25</v>
      </c>
      <c r="Q13" s="10" t="s">
        <v>26</v>
      </c>
      <c r="R13" s="10" t="s">
        <v>27</v>
      </c>
      <c r="S13" s="10" t="s">
        <v>28</v>
      </c>
      <c r="T13" s="10"/>
      <c r="U13" s="10"/>
      <c r="V13" s="10"/>
    </row>
    <row r="14" spans="1:22" ht="14" x14ac:dyDescent="0.15">
      <c r="A14" s="6">
        <v>42216</v>
      </c>
      <c r="B14" s="7">
        <v>3.39656729900632E-2</v>
      </c>
      <c r="C14" s="7">
        <v>-0.22573167197913599</v>
      </c>
      <c r="D14" s="7">
        <v>4.9539505574406097E-2</v>
      </c>
      <c r="E14" s="7">
        <v>-4.4350207615513698E-2</v>
      </c>
      <c r="F14" s="7">
        <v>-6.6212803338091403E-2</v>
      </c>
      <c r="H14" s="9" t="s">
        <v>7</v>
      </c>
      <c r="I14" s="12">
        <v>0.34569836018893391</v>
      </c>
      <c r="J14" s="12">
        <f>$I14*J$22+(1-J$22)*$U14</f>
        <v>0.3111285241700405</v>
      </c>
      <c r="K14" s="12">
        <f>$I14*K$22+(1-K$22)*$U14</f>
        <v>0.27655868815114715</v>
      </c>
      <c r="L14" s="12">
        <f>$I14*L$22+(1-L$22)*$U14</f>
        <v>0.24198885213225371</v>
      </c>
      <c r="M14" s="12">
        <f t="shared" ref="M14:S14" si="2">$I14*M$22+(1-M$22)*$U14</f>
        <v>0.20741901611336033</v>
      </c>
      <c r="N14" s="12">
        <f t="shared" si="2"/>
        <v>0.17284918009446695</v>
      </c>
      <c r="O14" s="12">
        <f t="shared" si="2"/>
        <v>0.13827934407557357</v>
      </c>
      <c r="P14" s="12">
        <f t="shared" si="2"/>
        <v>0.10370950805668017</v>
      </c>
      <c r="Q14" s="12">
        <f t="shared" si="2"/>
        <v>6.9139672037786787E-2</v>
      </c>
      <c r="R14" s="12">
        <f t="shared" si="2"/>
        <v>3.4569836018893393E-2</v>
      </c>
      <c r="S14" s="12">
        <f t="shared" si="2"/>
        <v>0</v>
      </c>
      <c r="T14" s="12"/>
      <c r="U14" s="12">
        <v>0</v>
      </c>
      <c r="V14" s="12">
        <v>0.2</v>
      </c>
    </row>
    <row r="15" spans="1:22" ht="14" x14ac:dyDescent="0.15">
      <c r="A15" s="6">
        <v>42247</v>
      </c>
      <c r="B15" s="7">
        <v>-7.0592346671326203E-2</v>
      </c>
      <c r="C15" s="7">
        <v>2.6197604790419299E-2</v>
      </c>
      <c r="D15" s="7">
        <v>-5.8193238499907797E-2</v>
      </c>
      <c r="E15" s="7">
        <v>-4.9828972913007301E-2</v>
      </c>
      <c r="F15" s="7">
        <v>3.7041392285982903E-2</v>
      </c>
      <c r="H15" s="9" t="s">
        <v>8</v>
      </c>
      <c r="I15" s="12">
        <v>0</v>
      </c>
      <c r="J15" s="12">
        <f t="shared" ref="J15:S18" si="3">$I15*J$22+(1-J$22)*$U15</f>
        <v>0</v>
      </c>
      <c r="K15" s="12">
        <f t="shared" si="3"/>
        <v>0</v>
      </c>
      <c r="L15" s="12">
        <f t="shared" si="3"/>
        <v>0</v>
      </c>
      <c r="M15" s="12">
        <f t="shared" si="3"/>
        <v>0</v>
      </c>
      <c r="N15" s="12">
        <f t="shared" si="3"/>
        <v>0</v>
      </c>
      <c r="O15" s="12">
        <f t="shared" si="3"/>
        <v>0</v>
      </c>
      <c r="P15" s="12">
        <f t="shared" si="3"/>
        <v>0</v>
      </c>
      <c r="Q15" s="12">
        <f t="shared" si="3"/>
        <v>0</v>
      </c>
      <c r="R15" s="12">
        <f t="shared" si="3"/>
        <v>0</v>
      </c>
      <c r="S15" s="12">
        <f t="shared" si="3"/>
        <v>0</v>
      </c>
      <c r="T15" s="12"/>
      <c r="U15" s="12">
        <v>0</v>
      </c>
      <c r="V15" s="12">
        <v>0.2</v>
      </c>
    </row>
    <row r="16" spans="1:22" ht="14" x14ac:dyDescent="0.15">
      <c r="A16" s="6">
        <v>42277</v>
      </c>
      <c r="B16" s="7">
        <v>-2.8012784357961899E-2</v>
      </c>
      <c r="C16" s="7">
        <v>-2.6258205689277999E-2</v>
      </c>
      <c r="D16" s="7">
        <v>1.6182816790898401E-2</v>
      </c>
      <c r="E16" s="7">
        <v>6.6160731659854503E-3</v>
      </c>
      <c r="F16" s="7">
        <v>-1.8029255017575699E-2</v>
      </c>
      <c r="H16" s="9" t="s">
        <v>9</v>
      </c>
      <c r="I16" s="12">
        <v>0.17253674907961658</v>
      </c>
      <c r="J16" s="12">
        <f t="shared" si="3"/>
        <v>0.15528307417165493</v>
      </c>
      <c r="K16" s="12">
        <f t="shared" si="3"/>
        <v>0.13802939926369326</v>
      </c>
      <c r="L16" s="12">
        <f t="shared" si="3"/>
        <v>0.1207757243557316</v>
      </c>
      <c r="M16" s="12">
        <f t="shared" si="3"/>
        <v>0.10352204944776995</v>
      </c>
      <c r="N16" s="12">
        <f t="shared" si="3"/>
        <v>8.626837453980829E-2</v>
      </c>
      <c r="O16" s="12">
        <f t="shared" si="3"/>
        <v>6.9014699631846629E-2</v>
      </c>
      <c r="P16" s="12">
        <f t="shared" si="3"/>
        <v>5.1761024723884975E-2</v>
      </c>
      <c r="Q16" s="12">
        <f t="shared" si="3"/>
        <v>3.4507349815923315E-2</v>
      </c>
      <c r="R16" s="12">
        <f t="shared" si="3"/>
        <v>1.7253674907961657E-2</v>
      </c>
      <c r="S16" s="12">
        <f t="shared" si="3"/>
        <v>0</v>
      </c>
      <c r="T16" s="12"/>
      <c r="U16" s="12">
        <v>0</v>
      </c>
      <c r="V16" s="12">
        <v>0.2</v>
      </c>
    </row>
    <row r="17" spans="1:22" ht="14" x14ac:dyDescent="0.15">
      <c r="A17" s="6">
        <v>42307</v>
      </c>
      <c r="B17" s="7">
        <v>6.2669245647968899E-2</v>
      </c>
      <c r="C17" s="7">
        <v>8.87640449438203E-2</v>
      </c>
      <c r="D17" s="7">
        <v>6.2156162532573903E-2</v>
      </c>
      <c r="E17" s="7">
        <v>8.6893485404987397E-2</v>
      </c>
      <c r="F17" s="7">
        <v>2.28637413394919E-2</v>
      </c>
      <c r="H17" s="9" t="s">
        <v>10</v>
      </c>
      <c r="I17" s="12">
        <v>0</v>
      </c>
      <c r="J17" s="12">
        <f t="shared" si="3"/>
        <v>9.9999997829788523E-2</v>
      </c>
      <c r="K17" s="12">
        <f t="shared" si="3"/>
        <v>0.19999999565957705</v>
      </c>
      <c r="L17" s="12">
        <f t="shared" si="3"/>
        <v>0.29999999348936568</v>
      </c>
      <c r="M17" s="12">
        <f t="shared" si="3"/>
        <v>0.3999999913191542</v>
      </c>
      <c r="N17" s="12">
        <f>$I17*N$22+(1-N$22)*$U17</f>
        <v>0.49999998914894273</v>
      </c>
      <c r="O17" s="12">
        <f t="shared" si="3"/>
        <v>0.59999998697873125</v>
      </c>
      <c r="P17" s="12">
        <f t="shared" si="3"/>
        <v>0.69999998480851977</v>
      </c>
      <c r="Q17" s="12">
        <f t="shared" si="3"/>
        <v>0.7999999826383084</v>
      </c>
      <c r="R17" s="12">
        <f>$I17*R$22+(1-R$22)*$U17</f>
        <v>0.89999998046809693</v>
      </c>
      <c r="S17" s="12">
        <f>$I17*S$22+(1-S$22)*$U17</f>
        <v>0.99999997829788545</v>
      </c>
      <c r="T17" s="12"/>
      <c r="U17" s="12">
        <v>0.99999997829788545</v>
      </c>
      <c r="V17" s="12">
        <v>0.2</v>
      </c>
    </row>
    <row r="18" spans="1:22" ht="14" x14ac:dyDescent="0.15">
      <c r="A18" s="6">
        <v>42338</v>
      </c>
      <c r="B18" s="7">
        <v>1.9930833636694598E-2</v>
      </c>
      <c r="C18" s="7">
        <v>-8.03233574131407E-2</v>
      </c>
      <c r="D18" s="7">
        <v>-1.9990913221262798E-3</v>
      </c>
      <c r="E18" s="7">
        <v>2.9257447754557499E-2</v>
      </c>
      <c r="F18" s="7">
        <v>-6.7509595845563403E-2</v>
      </c>
      <c r="H18" s="9" t="s">
        <v>11</v>
      </c>
      <c r="I18" s="12">
        <v>0.48176489073144962</v>
      </c>
      <c r="J18" s="12">
        <f t="shared" si="3"/>
        <v>0.43358840165830465</v>
      </c>
      <c r="K18" s="12">
        <f t="shared" si="3"/>
        <v>0.38541191258515972</v>
      </c>
      <c r="L18" s="12">
        <f t="shared" si="3"/>
        <v>0.33723542351201474</v>
      </c>
      <c r="M18" s="12">
        <f t="shared" si="3"/>
        <v>0.28905893443886976</v>
      </c>
      <c r="N18" s="12">
        <f t="shared" si="3"/>
        <v>0.24088244536572481</v>
      </c>
      <c r="O18" s="12">
        <f t="shared" si="3"/>
        <v>0.19270595629257986</v>
      </c>
      <c r="P18" s="12">
        <f t="shared" si="3"/>
        <v>0.14452946721943488</v>
      </c>
      <c r="Q18" s="12">
        <f t="shared" si="3"/>
        <v>9.635297814628993E-2</v>
      </c>
      <c r="R18" s="12">
        <f t="shared" si="3"/>
        <v>4.8176489073144965E-2</v>
      </c>
      <c r="S18" s="12">
        <f t="shared" si="3"/>
        <v>0</v>
      </c>
      <c r="T18" s="12"/>
      <c r="U18" s="12">
        <v>0</v>
      </c>
      <c r="V18" s="12">
        <v>0.2</v>
      </c>
    </row>
    <row r="19" spans="1:22" ht="14" x14ac:dyDescent="0.15">
      <c r="A19" s="6">
        <v>42369</v>
      </c>
      <c r="B19" s="7">
        <v>-2.3467475684839801E-2</v>
      </c>
      <c r="C19" s="7">
        <v>5.6106227791286097E-3</v>
      </c>
      <c r="D19" s="7">
        <v>1.10170263133935E-2</v>
      </c>
      <c r="E19" s="7">
        <v>-2.4796958700535599E-2</v>
      </c>
      <c r="F19" s="7">
        <v>-4.4794188861984104E-3</v>
      </c>
      <c r="H19" s="9" t="s">
        <v>14</v>
      </c>
      <c r="I19" s="12">
        <f>SUM(I14:I18)</f>
        <v>1</v>
      </c>
      <c r="J19" s="12">
        <f t="shared" ref="J19:V19" si="4">SUM(J14:J18)</f>
        <v>0.99999999782978866</v>
      </c>
      <c r="K19" s="12">
        <f t="shared" si="4"/>
        <v>0.9999999956595772</v>
      </c>
      <c r="L19" s="12">
        <f t="shared" si="4"/>
        <v>0.99999999348936575</v>
      </c>
      <c r="M19" s="12">
        <f t="shared" si="4"/>
        <v>0.99999999131915429</v>
      </c>
      <c r="N19" s="12">
        <f t="shared" si="4"/>
        <v>0.99999998914894273</v>
      </c>
      <c r="O19" s="12">
        <f t="shared" si="4"/>
        <v>0.99999998697873127</v>
      </c>
      <c r="P19" s="12">
        <f t="shared" si="4"/>
        <v>0.9999999848085197</v>
      </c>
      <c r="Q19" s="12">
        <f t="shared" si="4"/>
        <v>0.99999998263830847</v>
      </c>
      <c r="R19" s="12">
        <f t="shared" si="4"/>
        <v>0.99999998046809691</v>
      </c>
      <c r="S19" s="12">
        <f t="shared" si="4"/>
        <v>0.99999997829788545</v>
      </c>
      <c r="T19" s="12"/>
      <c r="U19" s="12">
        <f t="shared" si="4"/>
        <v>0.99999997829788545</v>
      </c>
      <c r="V19" s="12">
        <f t="shared" si="4"/>
        <v>1</v>
      </c>
    </row>
    <row r="20" spans="1:22" ht="14" x14ac:dyDescent="0.15">
      <c r="A20" s="6">
        <v>42398</v>
      </c>
      <c r="B20" s="7">
        <v>-8.8541666666666699E-2</v>
      </c>
      <c r="C20" s="7">
        <v>3.5707643667472401E-2</v>
      </c>
      <c r="D20" s="7">
        <v>-4.09762247838618E-2</v>
      </c>
      <c r="E20" s="7">
        <v>-6.6802516169044104E-2</v>
      </c>
      <c r="F20" s="7">
        <v>5.41165024930075E-2</v>
      </c>
      <c r="H20" s="9" t="s">
        <v>15</v>
      </c>
      <c r="I20" s="9" cm="1">
        <f t="array" ref="I20">SQRT(MMULT(MMULT(TRANSPOSE(I14:I18),_xlfn.ANCHORARRAY(I7)),I14:I18))</f>
        <v>7.8911553604726972E-2</v>
      </c>
      <c r="J20" s="9" cm="1">
        <f t="array" ref="J20">SQRT(MMULT(MMULT(TRANSPOSE(J14:J18),_xlfn.ANCHORARRAY(I7)),J14:J18))</f>
        <v>8.2585731687247921E-2</v>
      </c>
      <c r="K20" s="9" cm="1">
        <f t="array" ref="K20">SQRT(MMULT(MMULT(TRANSPOSE(K14:K18),_xlfn.ANCHORARRAY(I7)),K14:K18))</f>
        <v>9.0000323788994016E-2</v>
      </c>
      <c r="L20" s="9" cm="1">
        <f t="array" ref="L20">SQRT(MMULT(MMULT(TRANSPOSE(L14:L18),_xlfn.ANCHORARRAY(I7)),L14:L18))</f>
        <v>0.10032945182611468</v>
      </c>
      <c r="M20" s="9" cm="1">
        <f t="array" ref="M20">SQRT(MMULT(MMULT(TRANSPOSE(M14:M18),_xlfn.ANCHORARRAY(I7)),M14:M18))</f>
        <v>0.11277510781698601</v>
      </c>
      <c r="N20" s="9" cm="1">
        <f t="array" ref="N20">SQRT(MMULT(MMULT(TRANSPOSE(N14:N18),_xlfn.ANCHORARRAY(I7)),N14:N18))</f>
        <v>0.12671517825555159</v>
      </c>
      <c r="O20" s="9" cm="1">
        <f t="array" ref="O20">SQRT(MMULT(MMULT(TRANSPOSE(O14:O18),_xlfn.ANCHORARRAY(I7)),O14:O18))</f>
        <v>0.1417093267055449</v>
      </c>
      <c r="P20" s="9" cm="1">
        <f t="array" ref="P20">SQRT(MMULT(MMULT(TRANSPOSE(P14:P18),_xlfn.ANCHORARRAY(I7)),P14:P18))</f>
        <v>0.15745671014009138</v>
      </c>
      <c r="Q20" s="9" cm="1">
        <f t="array" ref="Q20">SQRT(MMULT(MMULT(TRANSPOSE(Q14:Q18),_xlfn.ANCHORARRAY(I7)),Q14:Q18))</f>
        <v>0.17375264970279417</v>
      </c>
      <c r="R20" s="9" cm="1">
        <f t="array" ref="R20">SQRT(MMULT(MMULT(TRANSPOSE(R14:R18),_xlfn.ANCHORARRAY(I7)),R14:R18))</f>
        <v>0.19045638977766616</v>
      </c>
      <c r="S20" s="9" cm="1">
        <f t="array" ref="S20">SQRT(MMULT(MMULT(TRANSPOSE(S14:S18),_xlfn.ANCHORARRAY(I7)),S14:S18))</f>
        <v>0.20746945547077991</v>
      </c>
      <c r="T20" s="9"/>
      <c r="U20" s="9" cm="1">
        <f t="array" ref="U20">SQRT(MMULT(MMULT(TRANSPOSE(U14:U18),_xlfn.ANCHORARRAY(I7)),U14:U18))</f>
        <v>0.20746945547077991</v>
      </c>
      <c r="V20" s="13">
        <f>AVERAGE(I3:M3)</f>
        <v>8.8118844979283122E-3</v>
      </c>
    </row>
    <row r="21" spans="1:22" ht="15.75" customHeight="1" x14ac:dyDescent="0.15">
      <c r="A21" s="6">
        <v>42429</v>
      </c>
      <c r="B21" s="7">
        <v>-2.8972431077694202E-2</v>
      </c>
      <c r="C21" s="7">
        <v>0.36379960495600699</v>
      </c>
      <c r="D21" s="7">
        <v>-7.5124424828622001E-3</v>
      </c>
      <c r="E21" s="7">
        <v>1.4335896705592001E-2</v>
      </c>
      <c r="F21" s="7">
        <v>0.10925242270419901</v>
      </c>
      <c r="H21" s="9" t="s">
        <v>16</v>
      </c>
      <c r="I21" s="15" cm="1">
        <f t="array" ref="I21">SUM(TRANSPOSE(I14:I18)*$I$3:$M$3)</f>
        <v>5.7352525607909516E-3</v>
      </c>
      <c r="J21" s="15" cm="1">
        <f t="array" ref="J21">SUM(TRANSPOSE(J14:J18)*$I$3:$M$3)</f>
        <v>6.9371694388743743E-3</v>
      </c>
      <c r="K21" s="15" cm="1">
        <f t="array" ref="K21">SUM(TRANSPOSE(K14:K18)*$I$3:$M$3)</f>
        <v>8.1390863169577971E-3</v>
      </c>
      <c r="L21" s="15" cm="1">
        <f t="array" ref="L21">SUM(TRANSPOSE(L14:L18)*$I$3:$M$3)</f>
        <v>9.3410031950412215E-3</v>
      </c>
      <c r="M21" s="15" cm="1">
        <f t="array" ref="M21">SUM(TRANSPOSE(M14:M18)*$I$3:$M$3)</f>
        <v>1.0542920073124646E-2</v>
      </c>
      <c r="N21" s="15" cm="1">
        <f t="array" ref="N21">SUM(TRANSPOSE(N14:N18)*$I$3:$M$3)</f>
        <v>1.1744836951208069E-2</v>
      </c>
      <c r="O21" s="15" cm="1">
        <f t="array" ref="O21">SUM(TRANSPOSE(O14:O18)*$I$3:$M$3)</f>
        <v>1.2946753829291491E-2</v>
      </c>
      <c r="P21" s="15" cm="1">
        <f t="array" ref="P21">SUM(TRANSPOSE(P14:P18)*$I$3:$M$3)</f>
        <v>1.4148670707374914E-2</v>
      </c>
      <c r="Q21" s="15" cm="1">
        <f t="array" ref="Q21">SUM(TRANSPOSE(Q14:Q18)*$I$3:$M$3)</f>
        <v>1.535058758545834E-2</v>
      </c>
      <c r="R21" s="15" cm="1">
        <f t="array" ref="R21">SUM(TRANSPOSE(R14:R18)*$I$3:$M$3)</f>
        <v>1.655250446354176E-2</v>
      </c>
      <c r="S21" s="15" cm="1">
        <f t="array" ref="S21">SUM(TRANSPOSE(S14:S18)*$I$3:$M$3)</f>
        <v>1.7754421341625186E-2</v>
      </c>
      <c r="T21" s="9"/>
      <c r="U21" s="13" cm="1">
        <f t="array" ref="U21">SUM(TRANSPOSE(U14:U18)*$I$3:$M$3)</f>
        <v>1.7754421341625186E-2</v>
      </c>
      <c r="V21" s="9">
        <f>AVERAGE(I4:M4)</f>
        <v>5.911652601793662E-2</v>
      </c>
    </row>
    <row r="22" spans="1:22" ht="15.75" customHeight="1" x14ac:dyDescent="0.15">
      <c r="A22" s="6">
        <v>42460</v>
      </c>
      <c r="B22" s="7">
        <v>7.2578979971092306E-2</v>
      </c>
      <c r="C22" s="7">
        <v>3.0414746543778699E-2</v>
      </c>
      <c r="D22" s="7">
        <v>0.102658718894881</v>
      </c>
      <c r="E22" s="7">
        <v>9.2193934855859194E-2</v>
      </c>
      <c r="F22" s="7">
        <v>-8.4243369734789998E-3</v>
      </c>
      <c r="J22">
        <v>0.9</v>
      </c>
      <c r="K22">
        <v>0.8</v>
      </c>
      <c r="L22">
        <v>0.7</v>
      </c>
      <c r="M22">
        <v>0.6</v>
      </c>
      <c r="N22">
        <v>0.5</v>
      </c>
      <c r="O22">
        <v>0.4</v>
      </c>
      <c r="P22">
        <v>0.3</v>
      </c>
      <c r="Q22">
        <v>0.2</v>
      </c>
      <c r="R22">
        <v>0.1</v>
      </c>
    </row>
    <row r="23" spans="1:22" ht="15.75" customHeight="1" x14ac:dyDescent="0.15">
      <c r="A23" s="6">
        <v>42489</v>
      </c>
      <c r="B23" s="7">
        <v>3.5999614977379801E-2</v>
      </c>
      <c r="C23" s="7">
        <v>0.29350881676463098</v>
      </c>
      <c r="D23" s="7">
        <v>-1.6732452376866401E-2</v>
      </c>
      <c r="E23" s="7">
        <v>-4.7561916188191E-2</v>
      </c>
      <c r="F23" s="7">
        <v>5.1080344031885903E-2</v>
      </c>
    </row>
    <row r="24" spans="1:22" ht="15.75" customHeight="1" x14ac:dyDescent="0.15">
      <c r="A24" s="6">
        <v>42521</v>
      </c>
      <c r="B24" s="7">
        <v>1.8860912385022702E-2</v>
      </c>
      <c r="C24" s="7">
        <v>-0.12585202015212901</v>
      </c>
      <c r="D24" s="7">
        <v>2.2078715420193799E-2</v>
      </c>
      <c r="E24" s="7">
        <v>8.4578009717473507E-2</v>
      </c>
      <c r="F24" s="7">
        <v>-6.1371120646641998E-2</v>
      </c>
    </row>
    <row r="25" spans="1:22" ht="15.75" customHeight="1" x14ac:dyDescent="0.15">
      <c r="A25" s="6">
        <v>42551</v>
      </c>
      <c r="B25" s="7">
        <v>-3.2555170527083697E-2</v>
      </c>
      <c r="C25" s="7">
        <v>0.22725731721098399</v>
      </c>
      <c r="D25" s="7">
        <v>6.2414617486338898E-2</v>
      </c>
      <c r="E25" s="7">
        <v>1.9910403185663399E-3</v>
      </c>
      <c r="F25" s="7">
        <v>8.9729959600255205E-2</v>
      </c>
    </row>
    <row r="26" spans="1:22" ht="15.75" customHeight="1" x14ac:dyDescent="0.15">
      <c r="A26" s="6">
        <v>42580</v>
      </c>
      <c r="B26" s="7">
        <v>3.4781789047035397E-2</v>
      </c>
      <c r="C26" s="7">
        <v>0.10386740331491701</v>
      </c>
      <c r="D26" s="7">
        <v>3.6486377883147E-2</v>
      </c>
      <c r="E26" s="7">
        <v>0.113760556383507</v>
      </c>
      <c r="F26" s="7">
        <v>1.9804878048780498E-2</v>
      </c>
    </row>
    <row r="27" spans="1:22" ht="15.75" customHeight="1" x14ac:dyDescent="0.15">
      <c r="A27" s="6">
        <v>42613</v>
      </c>
      <c r="B27" s="7">
        <v>3.8531608671889199E-2</v>
      </c>
      <c r="C27" s="7">
        <v>-0.16666666666666699</v>
      </c>
      <c r="D27" s="7">
        <v>-3.34961618981158E-2</v>
      </c>
      <c r="E27" s="7">
        <v>4.2744573297650801E-2</v>
      </c>
      <c r="F27" s="7">
        <v>-3.2526547402659603E-2</v>
      </c>
    </row>
    <row r="28" spans="1:22" ht="15.75" customHeight="1" x14ac:dyDescent="0.15">
      <c r="A28" s="6">
        <v>42643</v>
      </c>
      <c r="B28" s="7">
        <v>-2.7541443733005901E-2</v>
      </c>
      <c r="C28" s="7">
        <v>3.6836836836836799E-2</v>
      </c>
      <c r="D28" s="7">
        <v>-1.4681107099879799E-2</v>
      </c>
      <c r="E28" s="7">
        <v>4.91908462251371E-2</v>
      </c>
      <c r="F28" s="7">
        <v>6.8229012162561702E-3</v>
      </c>
    </row>
    <row r="29" spans="1:22" ht="15.75" customHeight="1" x14ac:dyDescent="0.15">
      <c r="A29" s="6">
        <v>42674</v>
      </c>
      <c r="B29" s="7">
        <v>2.2729322630107299E-2</v>
      </c>
      <c r="C29" s="7">
        <v>-7.2311256999420703E-2</v>
      </c>
      <c r="D29" s="7">
        <v>-4.9666178146881602E-2</v>
      </c>
      <c r="E29" s="7">
        <v>-1.72589522321125E-2</v>
      </c>
      <c r="F29" s="7">
        <v>-2.94637595757219E-2</v>
      </c>
    </row>
    <row r="30" spans="1:22" ht="15.75" customHeight="1" x14ac:dyDescent="0.15">
      <c r="A30" s="6">
        <v>42704</v>
      </c>
      <c r="B30" s="7">
        <v>0.140400388041273</v>
      </c>
      <c r="C30" s="7">
        <v>-0.15048392132375901</v>
      </c>
      <c r="D30" s="7">
        <v>-2.3303632625085599E-2</v>
      </c>
      <c r="E30" s="7">
        <v>4.0862891516283001E-2</v>
      </c>
      <c r="F30" s="7">
        <v>-8.3485124468731006E-2</v>
      </c>
    </row>
    <row r="31" spans="1:22" ht="15.75" customHeight="1" x14ac:dyDescent="0.15">
      <c r="A31" s="6">
        <v>42734</v>
      </c>
      <c r="B31" s="7">
        <v>3.7584100224267197E-2</v>
      </c>
      <c r="C31" s="7">
        <v>7.2277349013842897E-3</v>
      </c>
      <c r="D31" s="7">
        <v>4.25438596491228E-2</v>
      </c>
      <c r="E31" s="7">
        <v>1.62083167264515E-2</v>
      </c>
      <c r="F31" s="7">
        <v>-1.9211659489897202E-2</v>
      </c>
    </row>
    <row r="32" spans="1:22" ht="15.75" customHeight="1" x14ac:dyDescent="0.15">
      <c r="A32" s="6">
        <v>42766</v>
      </c>
      <c r="B32" s="7">
        <v>2.5340985317134899E-3</v>
      </c>
      <c r="C32" s="7">
        <v>0.14388226708829999</v>
      </c>
      <c r="D32" s="7">
        <v>1.2620950778292599E-3</v>
      </c>
      <c r="E32" s="7">
        <v>3.9090077134265898E-2</v>
      </c>
      <c r="F32" s="7">
        <v>5.4260947877969201E-2</v>
      </c>
    </row>
    <row r="33" spans="1:6" ht="15.75" customHeight="1" x14ac:dyDescent="0.15">
      <c r="A33" s="6">
        <v>42794</v>
      </c>
      <c r="B33" s="7">
        <v>5.2784179614898702E-2</v>
      </c>
      <c r="C33" s="7">
        <v>-4.5082402977139703E-2</v>
      </c>
      <c r="D33" s="7">
        <v>4.3781512605041997E-2</v>
      </c>
      <c r="E33" s="7">
        <v>2.6170105686965199E-2</v>
      </c>
      <c r="F33" s="7">
        <v>3.1820608649225597E-2</v>
      </c>
    </row>
    <row r="34" spans="1:6" ht="15.75" customHeight="1" x14ac:dyDescent="0.15">
      <c r="A34" s="6">
        <v>42825</v>
      </c>
      <c r="B34" s="7">
        <v>-2.95176894287127E-2</v>
      </c>
      <c r="C34" s="7">
        <v>-1.781538804142E-3</v>
      </c>
      <c r="D34" s="7">
        <v>-1.4572095644472901E-2</v>
      </c>
      <c r="E34" s="7">
        <v>4.3464933791074002E-2</v>
      </c>
      <c r="F34" s="7">
        <v>-4.2429887198591797E-3</v>
      </c>
    </row>
    <row r="35" spans="1:6" ht="15.75" customHeight="1" x14ac:dyDescent="0.15">
      <c r="A35" s="6">
        <v>42853</v>
      </c>
      <c r="B35" s="7">
        <v>-8.4406606999927192E-3</v>
      </c>
      <c r="C35" s="7">
        <v>-2.54322364751812E-2</v>
      </c>
      <c r="D35" s="7">
        <v>5.6372549019607599E-3</v>
      </c>
      <c r="E35" s="7">
        <v>-1.1750190940607001E-4</v>
      </c>
      <c r="F35" s="7">
        <v>1.72521305341924E-2</v>
      </c>
    </row>
    <row r="36" spans="1:6" ht="15.75" customHeight="1" x14ac:dyDescent="0.15">
      <c r="A36" s="6">
        <v>42886</v>
      </c>
      <c r="B36" s="7">
        <v>-1.1888163205401101E-2</v>
      </c>
      <c r="C36" s="7">
        <v>2.07164930754264E-2</v>
      </c>
      <c r="D36" s="7">
        <v>-1.1373791534649001E-3</v>
      </c>
      <c r="E36" s="7">
        <v>7.8911804453845699E-2</v>
      </c>
      <c r="F36" s="7">
        <v>-1.22599100939913E-3</v>
      </c>
    </row>
    <row r="37" spans="1:6" ht="15.75" customHeight="1" x14ac:dyDescent="0.15">
      <c r="A37" s="6">
        <v>42916</v>
      </c>
      <c r="B37" s="7">
        <v>6.5131823245450998E-2</v>
      </c>
      <c r="C37" s="7">
        <v>-2.69118636465576E-2</v>
      </c>
      <c r="D37" s="7">
        <v>2.0821472143147699E-2</v>
      </c>
      <c r="E37" s="7">
        <v>-4.8033983226228101E-2</v>
      </c>
      <c r="F37" s="7">
        <v>-2.1583469721767602E-2</v>
      </c>
    </row>
    <row r="38" spans="1:6" ht="15.75" customHeight="1" x14ac:dyDescent="0.15">
      <c r="A38" s="6">
        <v>42947</v>
      </c>
      <c r="B38" s="7">
        <v>1.7012968902524201E-2</v>
      </c>
      <c r="C38" s="7">
        <v>3.5376814934316499E-2</v>
      </c>
      <c r="D38" s="7">
        <v>1.1154489682097E-2</v>
      </c>
      <c r="E38" s="7">
        <v>4.8627002288329502E-2</v>
      </c>
      <c r="F38" s="7">
        <v>2.3105070569785498E-2</v>
      </c>
    </row>
    <row r="39" spans="1:6" ht="15.75" customHeight="1" x14ac:dyDescent="0.15">
      <c r="A39" s="6">
        <v>42978</v>
      </c>
      <c r="B39" s="7">
        <v>-1.54943096119567E-2</v>
      </c>
      <c r="C39" s="7">
        <v>8.1357818586533098E-2</v>
      </c>
      <c r="D39" s="7">
        <v>6.6976597588843702E-3</v>
      </c>
      <c r="E39" s="7">
        <v>3.1914893617021302E-2</v>
      </c>
      <c r="F39" s="7">
        <v>4.1998773758430398E-2</v>
      </c>
    </row>
    <row r="40" spans="1:6" ht="15.75" customHeight="1" x14ac:dyDescent="0.15">
      <c r="A40" s="6">
        <v>43007</v>
      </c>
      <c r="B40" s="7">
        <v>5.13231197771589E-2</v>
      </c>
      <c r="C40" s="7">
        <v>-7.1222725401399706E-2</v>
      </c>
      <c r="D40" s="7">
        <v>-7.8271759549154406E-3</v>
      </c>
      <c r="E40" s="7">
        <v>5.3502511234470002E-2</v>
      </c>
      <c r="F40" s="7">
        <v>-3.3735412376189003E-2</v>
      </c>
    </row>
    <row r="41" spans="1:6" ht="15.75" customHeight="1" x14ac:dyDescent="0.15">
      <c r="A41" s="6">
        <v>43039</v>
      </c>
      <c r="B41" s="7">
        <v>2.8614956613896701E-2</v>
      </c>
      <c r="C41" s="7">
        <v>-2.09441489361702E-2</v>
      </c>
      <c r="D41" s="7">
        <v>4.7333543704630699E-4</v>
      </c>
      <c r="E41" s="7">
        <v>8.8824208360515702E-2</v>
      </c>
      <c r="F41" s="7">
        <v>-7.4089109915762598E-3</v>
      </c>
    </row>
    <row r="42" spans="1:6" ht="15.75" customHeight="1" x14ac:dyDescent="0.15">
      <c r="A42" s="6">
        <v>43069</v>
      </c>
      <c r="B42" s="7">
        <v>3.4580462360744399E-2</v>
      </c>
      <c r="C42" s="7">
        <v>-4.52744765138568E-4</v>
      </c>
      <c r="D42" s="7">
        <v>2.5626872733007299E-2</v>
      </c>
      <c r="E42" s="7">
        <v>-1.3365903120247101E-2</v>
      </c>
      <c r="F42" s="7">
        <v>3.47648261758704E-3</v>
      </c>
    </row>
    <row r="43" spans="1:6" ht="15.75" customHeight="1" x14ac:dyDescent="0.15">
      <c r="A43" s="6">
        <v>43098</v>
      </c>
      <c r="B43" s="7">
        <v>1.8797460475538499E-2</v>
      </c>
      <c r="C43" s="7">
        <v>4.2577284565734203E-2</v>
      </c>
      <c r="D43" s="7">
        <v>-9.9946182824628394E-4</v>
      </c>
      <c r="E43" s="7">
        <v>-1.0650721726538E-2</v>
      </c>
      <c r="F43" s="7">
        <v>2.1092317098023099E-2</v>
      </c>
    </row>
    <row r="44" spans="1:6" ht="15.75" customHeight="1" x14ac:dyDescent="0.15">
      <c r="A44" s="6">
        <v>43131</v>
      </c>
      <c r="B44" s="7">
        <v>6.5615835777125903E-2</v>
      </c>
      <c r="C44" s="7">
        <v>2.1939828391441402E-2</v>
      </c>
      <c r="D44" s="7">
        <v>-3.0244728336155099E-2</v>
      </c>
      <c r="E44" s="7">
        <v>8.8908824779262499E-2</v>
      </c>
      <c r="F44" s="7">
        <v>3.2332102584572399E-2</v>
      </c>
    </row>
    <row r="45" spans="1:6" ht="15.75" customHeight="1" x14ac:dyDescent="0.15">
      <c r="A45" s="6">
        <v>43159</v>
      </c>
      <c r="B45" s="7">
        <v>-2.92970989565416E-2</v>
      </c>
      <c r="C45" s="7">
        <v>-0.101073440323095</v>
      </c>
      <c r="D45" s="7">
        <v>-6.6582017300214305E-2</v>
      </c>
      <c r="E45" s="7">
        <v>3.03529615818254E-4</v>
      </c>
      <c r="F45" s="7">
        <v>-2.0782986950217502E-2</v>
      </c>
    </row>
    <row r="46" spans="1:6" ht="15.75" customHeight="1" x14ac:dyDescent="0.15">
      <c r="A46" s="6">
        <v>43189</v>
      </c>
      <c r="B46" s="7">
        <v>-4.1521469493827803E-2</v>
      </c>
      <c r="C46" s="7">
        <v>2.9439583825963601E-2</v>
      </c>
      <c r="D46" s="7">
        <v>3.7833701751402798E-2</v>
      </c>
      <c r="E46" s="7">
        <v>-2.1197277732021302E-2</v>
      </c>
      <c r="F46" s="7">
        <v>6.41658440276416E-3</v>
      </c>
    </row>
    <row r="47" spans="1:6" ht="15.75" customHeight="1" x14ac:dyDescent="0.15">
      <c r="A47" s="6">
        <v>43220</v>
      </c>
      <c r="B47" s="7">
        <v>-4.3751540547203299E-3</v>
      </c>
      <c r="C47" s="7">
        <v>1.36671643505226E-2</v>
      </c>
      <c r="D47" s="7">
        <v>2.21184566232502E-3</v>
      </c>
      <c r="E47" s="7">
        <v>-6.8290522586359703E-2</v>
      </c>
      <c r="F47" s="7">
        <v>-9.6125551741049805E-3</v>
      </c>
    </row>
    <row r="48" spans="1:6" ht="15.75" customHeight="1" x14ac:dyDescent="0.15">
      <c r="A48" s="6">
        <v>43251</v>
      </c>
      <c r="B48" s="7">
        <v>-9.8409358172928396E-3</v>
      </c>
      <c r="C48" s="7">
        <v>2.7192386131882299E-3</v>
      </c>
      <c r="D48" s="7">
        <v>3.37583782900115E-2</v>
      </c>
      <c r="E48" s="7">
        <v>0.103241753018348</v>
      </c>
      <c r="F48" s="7">
        <v>-1.1983757551748001E-2</v>
      </c>
    </row>
    <row r="49" spans="1:6" ht="15.75" customHeight="1" x14ac:dyDescent="0.15">
      <c r="A49" s="6">
        <v>43280</v>
      </c>
      <c r="B49" s="7">
        <v>-1.7439679959995E-2</v>
      </c>
      <c r="C49" s="7">
        <v>-1.3559322033899199E-3</v>
      </c>
      <c r="D49" s="7">
        <v>4.0483909227484897E-2</v>
      </c>
      <c r="E49" s="7">
        <v>-4.2180094786729801E-2</v>
      </c>
      <c r="F49" s="7">
        <v>-3.6086607858861301E-2</v>
      </c>
    </row>
    <row r="50" spans="1:6" ht="15.75" customHeight="1" x14ac:dyDescent="0.15">
      <c r="A50" s="6">
        <v>43312</v>
      </c>
      <c r="B50" s="7">
        <v>5.1148291876073497E-2</v>
      </c>
      <c r="C50" s="7">
        <v>-4.6164290563475902E-2</v>
      </c>
      <c r="D50" s="7">
        <v>8.3592978189832596E-3</v>
      </c>
      <c r="E50" s="7">
        <v>3.13526157167918E-2</v>
      </c>
      <c r="F50" s="7">
        <v>-2.2462562396006601E-2</v>
      </c>
    </row>
    <row r="51" spans="1:6" ht="15.75" customHeight="1" x14ac:dyDescent="0.15">
      <c r="A51" s="6">
        <v>43343</v>
      </c>
      <c r="B51" s="7">
        <v>1.3556860134358299E-2</v>
      </c>
      <c r="C51" s="7">
        <v>-0.12823250296559899</v>
      </c>
      <c r="D51" s="7">
        <v>2.37395432964051E-2</v>
      </c>
      <c r="E51" s="7">
        <v>2.88293789253313E-2</v>
      </c>
      <c r="F51" s="7">
        <v>-2.1382978723404299E-2</v>
      </c>
    </row>
    <row r="52" spans="1:6" ht="15.75" customHeight="1" x14ac:dyDescent="0.15">
      <c r="A52" s="6">
        <v>43371</v>
      </c>
      <c r="B52" s="7">
        <v>-2.21532214725025E-2</v>
      </c>
      <c r="C52" s="7">
        <v>-1.63287522111844E-3</v>
      </c>
      <c r="D52" s="7">
        <v>-2.8415783274440599E-2</v>
      </c>
      <c r="E52" s="7">
        <v>-2.2892025944295999E-2</v>
      </c>
      <c r="F52" s="7">
        <v>-6.5224480921838301E-3</v>
      </c>
    </row>
    <row r="53" spans="1:6" ht="15.75" customHeight="1" x14ac:dyDescent="0.15">
      <c r="A53" s="6">
        <v>43404</v>
      </c>
      <c r="B53" s="7">
        <v>-4.7142159257449898E-2</v>
      </c>
      <c r="C53" s="7">
        <v>2.2079869156330902E-2</v>
      </c>
      <c r="D53" s="7">
        <v>-2.3867252614032199E-2</v>
      </c>
      <c r="E53" s="7">
        <v>-0.12200095448826399</v>
      </c>
      <c r="F53" s="7">
        <v>2.1118284276179001E-2</v>
      </c>
    </row>
    <row r="54" spans="1:6" ht="15.75" customHeight="1" x14ac:dyDescent="0.15">
      <c r="A54" s="6">
        <v>43434</v>
      </c>
      <c r="B54" s="7">
        <v>2.6275314022045498E-2</v>
      </c>
      <c r="C54" s="7">
        <v>8.5344712628350194E-3</v>
      </c>
      <c r="D54" s="7">
        <v>4.6961111542342497E-2</v>
      </c>
      <c r="E54" s="7">
        <v>3.5183080496121101E-2</v>
      </c>
      <c r="F54" s="7">
        <v>3.4290612944707401E-3</v>
      </c>
    </row>
    <row r="55" spans="1:6" ht="15.75" customHeight="1" x14ac:dyDescent="0.15">
      <c r="A55" s="6">
        <v>43465</v>
      </c>
      <c r="B55" s="7">
        <v>-0.111152741351317</v>
      </c>
      <c r="C55" s="7">
        <v>0.110273700912336</v>
      </c>
      <c r="D55" s="7">
        <v>-7.7995255041518399E-2</v>
      </c>
      <c r="E55" s="7">
        <v>-8.0433433576781801E-2</v>
      </c>
      <c r="F55" s="7">
        <v>4.9444681759931698E-2</v>
      </c>
    </row>
    <row r="56" spans="1:6" ht="15.75" customHeight="1" x14ac:dyDescent="0.15">
      <c r="A56" s="6">
        <v>43496</v>
      </c>
      <c r="B56" s="7">
        <v>8.8941969931150694E-2</v>
      </c>
      <c r="C56" s="7">
        <v>7.5860426342741594E-2</v>
      </c>
      <c r="D56" s="7">
        <v>0.114747507237054</v>
      </c>
      <c r="E56" s="7">
        <v>0.106675664451827</v>
      </c>
      <c r="F56" s="7">
        <v>2.8798209015976399E-2</v>
      </c>
    </row>
    <row r="57" spans="1:6" ht="15.75" customHeight="1" x14ac:dyDescent="0.15">
      <c r="A57" s="6">
        <v>43524</v>
      </c>
      <c r="B57" s="7">
        <v>2.23870967741935E-2</v>
      </c>
      <c r="C57" s="7">
        <v>-1.98140358645119E-2</v>
      </c>
      <c r="D57" s="7">
        <v>7.2855803217195501E-3</v>
      </c>
      <c r="E57" s="7">
        <v>6.9796894788686198E-2</v>
      </c>
      <c r="F57" s="7">
        <v>-6.0336300692383996E-3</v>
      </c>
    </row>
    <row r="58" spans="1:6" ht="15.75" customHeight="1" x14ac:dyDescent="0.15">
      <c r="A58" s="6">
        <v>43553</v>
      </c>
      <c r="B58" s="7">
        <v>-2.5619991165520301E-2</v>
      </c>
      <c r="C58" s="7">
        <v>8.1309994353473396E-3</v>
      </c>
      <c r="D58" s="7">
        <v>4.1678602119736598E-2</v>
      </c>
      <c r="E58" s="7">
        <v>2.9026176173981601E-2</v>
      </c>
      <c r="F58" s="7">
        <v>-1.6021494676087201E-2</v>
      </c>
    </row>
    <row r="59" spans="1:6" ht="15.75" customHeight="1" x14ac:dyDescent="0.15">
      <c r="A59" s="6">
        <v>43585</v>
      </c>
      <c r="B59" s="7">
        <v>8.9825788485201799E-2</v>
      </c>
      <c r="C59" s="7">
        <v>-6.8220006721182794E-2</v>
      </c>
      <c r="D59" s="7">
        <v>-4.8123195380189699E-4</v>
      </c>
      <c r="E59" s="7">
        <v>9.3314585197494596E-2</v>
      </c>
      <c r="F59" s="7">
        <v>-6.5736245954691802E-3</v>
      </c>
    </row>
    <row r="60" spans="1:6" ht="15.75" customHeight="1" x14ac:dyDescent="0.15">
      <c r="A60" s="6">
        <v>43616</v>
      </c>
      <c r="B60" s="7">
        <v>-7.1725695269788406E-2</v>
      </c>
      <c r="C60" s="7">
        <v>3.3421495551815297E-2</v>
      </c>
      <c r="D60" s="7">
        <v>-1.4443909484832501E-3</v>
      </c>
      <c r="E60" s="7">
        <v>-0.155033321641529</v>
      </c>
      <c r="F60" s="7">
        <v>1.7509925684617601E-2</v>
      </c>
    </row>
    <row r="61" spans="1:6" ht="15.75" customHeight="1" x14ac:dyDescent="0.15">
      <c r="A61" s="6">
        <v>43644</v>
      </c>
      <c r="B61" s="7">
        <v>6.6577043723193202E-2</v>
      </c>
      <c r="C61" s="7">
        <v>0.18392275476966</v>
      </c>
      <c r="D61" s="7">
        <v>1.26739220278276E-2</v>
      </c>
      <c r="E61" s="7">
        <v>0.121673354550067</v>
      </c>
      <c r="F61" s="7">
        <v>8.0040020010005097E-2</v>
      </c>
    </row>
    <row r="62" spans="1:6" ht="15.75" customHeight="1" x14ac:dyDescent="0.15">
      <c r="A62" s="6">
        <v>43677</v>
      </c>
      <c r="B62" s="7">
        <v>2.3527999519836699E-2</v>
      </c>
      <c r="C62" s="7">
        <v>3.6749533261275502E-2</v>
      </c>
      <c r="D62" s="7">
        <v>2.38062848592029E-2</v>
      </c>
      <c r="E62" s="7">
        <v>6.2708170566224006E-2</v>
      </c>
      <c r="F62" s="7">
        <v>9.2635479388425396E-5</v>
      </c>
    </row>
    <row r="63" spans="1:6" ht="15.75" customHeight="1" x14ac:dyDescent="0.15"/>
    <row r="64" spans="1:6" ht="15.75" customHeight="1" x14ac:dyDescent="0.15">
      <c r="A64" s="11"/>
    </row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__FDSCACHE__</vt:lpstr>
      <vt:lpstr>Five ETFs 5 Years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Nikolas Carruthers</cp:lastModifiedBy>
  <dcterms:created xsi:type="dcterms:W3CDTF">2025-12-17T03:46:06Z</dcterms:created>
  <dcterms:modified xsi:type="dcterms:W3CDTF">2026-05-18T21:46:18Z</dcterms:modified>
</cp:coreProperties>
</file>